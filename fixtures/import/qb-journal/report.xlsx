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100</t>
        </is>
      </c>
    </row>
    <row r="7">
      <c r="B7" t="inlineStr">
        <is>
          <t>01/01/2026</t>
        </is>
      </c>
      <c r="C7" t="inlineStr">
        <is>
          <t>Deposit</t>
        </is>
      </c>
      <c r="D7" t="inlineStr">
        <is>
          <t/>
        </is>
      </c>
      <c r="E7" t="inlineStr">
        <is>
          <t>Payee 00</t>
        </is>
      </c>
      <c r="F7" t="inlineStr">
        <is>
          <t>Memo 00</t>
        </is>
      </c>
      <c r="G7" t="inlineStr">
        <is>
          <t/>
        </is>
      </c>
      <c r="H7" t="inlineStr">
        <is>
          <t>Riverbank BUSINESS CHECKING (0002)</t>
        </is>
      </c>
      <c r="I7" s="1" t="n">
        <v>25</v>
      </c>
      <c r="K7" t="inlineStr">
        <is>
          <t/>
        </is>
      </c>
      <c r="L7" s="1" t="n">
        <v>25.00000000001</v>
      </c>
      <c r="M7" t="inlineStr">
        <is>
          <t>Payee 00</t>
        </is>
      </c>
      <c r="N7" t="inlineStr">
        <is>
          <t/>
        </is>
      </c>
    </row>
    <row r="8">
      <c r="B8" t="inlineStr">
        <is>
          <t>01/01/2026</t>
        </is>
      </c>
      <c r="C8" t="inlineStr">
        <is>
          <t>Deposit</t>
        </is>
      </c>
      <c r="D8" t="inlineStr">
        <is>
          <t/>
        </is>
      </c>
      <c r="E8" t="inlineStr">
        <is>
          <t>Payee 00</t>
        </is>
      </c>
      <c r="F8" t="inlineStr">
        <is>
          <t>Memo 00</t>
        </is>
      </c>
      <c r="G8" t="inlineStr">
        <is>
          <t>3000</t>
        </is>
      </c>
      <c r="H8" t="inlineStr">
        <is>
          <t>3000 Member Equity</t>
        </is>
      </c>
      <c r="J8" s="1" t="n">
        <v>25</v>
      </c>
      <c r="K8" t="inlineStr">
        <is>
          <t/>
        </is>
      </c>
      <c r="L8" s="1" t="n">
        <v>50</v>
      </c>
      <c r="M8" t="inlineStr">
        <is>
          <t>Payee 00</t>
        </is>
      </c>
      <c r="N8" t="inlineStr">
        <is>
          <t/>
        </is>
      </c>
    </row>
    <row r="9">
      <c r="A9" t="inlineStr">
        <is>
          <t>Total for 100</t>
        </is>
      </c>
      <c r="I9" s="2">
        <f>I7+I8</f>
        <v>25.0</v>
      </c>
      <c r="J9" s="2">
        <f>J7+J8</f>
        <v>25.0</v>
      </c>
    </row>
    <row r="10">
      <c r="A10" t="inlineStr">
        <is>
          <t>101</t>
        </is>
      </c>
    </row>
    <row r="11">
      <c r="B11" t="inlineStr">
        <is>
          <t>01/02/2026</t>
        </is>
      </c>
      <c r="C11" t="inlineStr">
        <is>
          <t>Expense</t>
        </is>
      </c>
      <c r="D11" t="inlineStr">
        <is>
          <t/>
        </is>
      </c>
      <c r="E11" t="inlineStr">
        <is>
          <t>Payee 01</t>
        </is>
      </c>
      <c r="F11" t="inlineStr">
        <is>
          <t>Memo 01</t>
        </is>
      </c>
      <c r="G11" t="inlineStr">
        <is>
          <t/>
        </is>
      </c>
      <c r="H11" t="inlineStr">
        <is>
          <t>2005 Northbank Credit Card</t>
        </is>
      </c>
      <c r="J11" s="1" t="n">
        <v>162.53</v>
      </c>
      <c r="K11" t="inlineStr">
        <is>
          <t/>
        </is>
      </c>
      <c r="L11" s="1" t="n">
        <v>162.53000000001</v>
      </c>
      <c r="M11" t="inlineStr">
        <is>
          <t/>
        </is>
      </c>
      <c r="N11" t="inlineStr">
        <is>
          <t>Payee 01</t>
        </is>
      </c>
    </row>
    <row r="12">
      <c r="B12" t="inlineStr">
        <is>
          <t>01/02/2026</t>
        </is>
      </c>
      <c r="C12" t="inlineStr">
        <is>
          <t>Expense</t>
        </is>
      </c>
      <c r="D12" t="inlineStr">
        <is>
          <t/>
        </is>
      </c>
      <c r="E12" t="inlineStr">
        <is>
          <t>Payee 01</t>
        </is>
      </c>
      <c r="F12" t="inlineStr">
        <is>
          <t>Memo 01</t>
        </is>
      </c>
      <c r="G12" t="inlineStr">
        <is>
          <t>6100</t>
        </is>
      </c>
      <c r="H12" t="inlineStr">
        <is>
          <t>6100 G&amp;A:6130 Bank Service Charges</t>
        </is>
      </c>
      <c r="I12" s="1" t="n">
        <v>162.53</v>
      </c>
      <c r="K12" t="inlineStr">
        <is>
          <t/>
        </is>
      </c>
      <c r="L12" s="1" t="n">
        <v>325.06</v>
      </c>
      <c r="M12" t="inlineStr">
        <is>
          <t/>
        </is>
      </c>
      <c r="N12" t="inlineStr">
        <is>
          <t>Payee 01</t>
        </is>
      </c>
    </row>
    <row r="13">
      <c r="A13" t="inlineStr">
        <is>
          <t>Total for 101</t>
        </is>
      </c>
      <c r="I13" s="2">
        <f>I11+I12</f>
        <v>162.53</v>
      </c>
      <c r="J13" s="2">
        <f>J11+J12</f>
        <v>162.53</v>
      </c>
    </row>
    <row r="14">
      <c r="A14" t="inlineStr">
        <is>
          <t>102</t>
        </is>
      </c>
    </row>
    <row r="15">
      <c r="B15" t="inlineStr">
        <is>
          <t>01/03/2026</t>
        </is>
      </c>
      <c r="C15" t="inlineStr">
        <is>
          <t>Transfer</t>
        </is>
      </c>
      <c r="D15" t="inlineStr">
        <is>
          <t/>
        </is>
      </c>
      <c r="E15" t="inlineStr">
        <is>
          <t>Payee 02</t>
        </is>
      </c>
      <c r="F15" t="inlineStr">
        <is>
          <t>Memo 02</t>
        </is>
      </c>
      <c r="G15" t="inlineStr">
        <is>
          <t/>
        </is>
      </c>
      <c r="H15" t="inlineStr">
        <is>
          <t>Riverbank BUSINESS CHECKING (0002)</t>
        </is>
      </c>
      <c r="J15" s="1" t="n">
        <v>300.06</v>
      </c>
      <c r="K15" t="inlineStr">
        <is>
          <t/>
        </is>
      </c>
      <c r="L15" s="1" t="n">
        <v>300.06000000001</v>
      </c>
      <c r="M15" t="inlineStr">
        <is>
          <t/>
        </is>
      </c>
      <c r="N15" t="inlineStr">
        <is>
          <t>Payee 02</t>
        </is>
      </c>
    </row>
    <row r="16">
      <c r="B16" t="inlineStr">
        <is>
          <t>01/03/2026</t>
        </is>
      </c>
      <c r="C16" t="inlineStr">
        <is>
          <t>Transfer</t>
        </is>
      </c>
      <c r="D16" t="inlineStr">
        <is>
          <t/>
        </is>
      </c>
      <c r="E16" t="inlineStr">
        <is>
          <t>Payee 02</t>
        </is>
      </c>
      <c r="F16" t="inlineStr">
        <is>
          <t>Memo 02</t>
        </is>
      </c>
      <c r="G16" t="inlineStr">
        <is>
          <t>2005</t>
        </is>
      </c>
      <c r="H16" t="inlineStr">
        <is>
          <t>2005 Northbank Credit Card</t>
        </is>
      </c>
      <c r="I16" s="1" t="n">
        <v>300.06</v>
      </c>
      <c r="K16" t="inlineStr">
        <is>
          <t/>
        </is>
      </c>
      <c r="L16" s="1" t="n">
        <v>600.12</v>
      </c>
      <c r="M16" t="inlineStr">
        <is>
          <t/>
        </is>
      </c>
      <c r="N16" t="inlineStr">
        <is>
          <t>Payee 02</t>
        </is>
      </c>
    </row>
    <row r="17">
      <c r="A17" t="inlineStr">
        <is>
          <t>Total for 102</t>
        </is>
      </c>
      <c r="I17" s="2">
        <f>I15+I16</f>
        <v>300.06</v>
      </c>
      <c r="J17" s="2">
        <f>J15+J16</f>
        <v>300.06</v>
      </c>
    </row>
    <row r="18">
      <c r="A18" t="inlineStr">
        <is>
          <t>103</t>
        </is>
      </c>
    </row>
    <row r="19">
      <c r="B19" t="inlineStr">
        <is>
          <t>01/04/2026</t>
        </is>
      </c>
      <c r="C19" t="inlineStr">
        <is>
          <t>Credit Card Expense</t>
        </is>
      </c>
      <c r="D19" t="inlineStr">
        <is>
          <t/>
        </is>
      </c>
      <c r="E19" t="inlineStr">
        <is>
          <t>Payee 03</t>
        </is>
      </c>
      <c r="F19" t="inlineStr">
        <is>
          <t>Memo 03</t>
        </is>
      </c>
      <c r="G19" t="inlineStr">
        <is>
          <t/>
        </is>
      </c>
      <c r="H19" t="inlineStr">
        <is>
          <t>2005 Northbank Credit Card</t>
        </is>
      </c>
      <c r="J19" s="1" t="n">
        <v>437.59</v>
      </c>
      <c r="K19" t="inlineStr">
        <is>
          <t/>
        </is>
      </c>
      <c r="L19" s="1" t="n">
        <v>437.59000000001</v>
      </c>
      <c r="M19" t="inlineStr">
        <is>
          <t/>
        </is>
      </c>
      <c r="N19" t="inlineStr">
        <is>
          <t>Payee 03</t>
        </is>
      </c>
    </row>
    <row r="20">
      <c r="B20" t="inlineStr">
        <is>
          <t>01/04/2026</t>
        </is>
      </c>
      <c r="C20" t="inlineStr">
        <is>
          <t>Credit Card Expense</t>
        </is>
      </c>
      <c r="D20" t="inlineStr">
        <is>
          <t/>
        </is>
      </c>
      <c r="E20" t="inlineStr">
        <is>
          <t>Payee 03</t>
        </is>
      </c>
      <c r="F20" t="inlineStr">
        <is>
          <t>Memo 03</t>
        </is>
      </c>
      <c r="G20" t="inlineStr">
        <is>
          <t>6600</t>
        </is>
      </c>
      <c r="H20" t="inlineStr">
        <is>
          <t>6600 Facilities &amp; Ops:6620 Software and Cloud Services</t>
        </is>
      </c>
      <c r="I20" s="1" t="n">
        <v>437.59</v>
      </c>
      <c r="K20" t="inlineStr">
        <is>
          <t/>
        </is>
      </c>
      <c r="L20" s="1" t="n">
        <v>875.1799999999999</v>
      </c>
      <c r="M20" t="inlineStr">
        <is>
          <t/>
        </is>
      </c>
      <c r="N20" t="inlineStr">
        <is>
          <t>Payee 03</t>
        </is>
      </c>
    </row>
    <row r="21">
      <c r="A21" t="inlineStr">
        <is>
          <t>Total for 103</t>
        </is>
      </c>
      <c r="I21" s="2">
        <f>I19+I20</f>
        <v>437.59</v>
      </c>
      <c r="J21" s="2">
        <f>J19+J20</f>
        <v>437.59</v>
      </c>
    </row>
    <row r="22">
      <c r="A22" t="inlineStr">
        <is>
          <t>104</t>
        </is>
      </c>
    </row>
    <row r="23">
      <c r="B23" t="inlineStr">
        <is>
          <t>01/05/2026</t>
        </is>
      </c>
      <c r="C23" t="inlineStr">
        <is>
          <t>Bill</t>
        </is>
      </c>
      <c r="D23" t="inlineStr">
        <is>
          <t/>
        </is>
      </c>
      <c r="E23" t="inlineStr">
        <is>
          <t>Payee 04</t>
        </is>
      </c>
      <c r="F23" t="inlineStr">
        <is>
          <t>Memo 04</t>
        </is>
      </c>
      <c r="G23" t="inlineStr">
        <is>
          <t/>
        </is>
      </c>
      <c r="H23" t="inlineStr">
        <is>
          <t>2000 Accounts Payable</t>
        </is>
      </c>
      <c r="J23" s="1" t="n">
        <v>575.12</v>
      </c>
      <c r="K23" t="inlineStr">
        <is>
          <t/>
        </is>
      </c>
      <c r="L23" s="1" t="n">
        <v>575.12000000001</v>
      </c>
      <c r="M23" t="inlineStr">
        <is>
          <t/>
        </is>
      </c>
      <c r="N23" t="inlineStr">
        <is>
          <t>Payee 04</t>
        </is>
      </c>
    </row>
    <row r="24">
      <c r="B24" t="inlineStr">
        <is>
          <t>01/05/2026</t>
        </is>
      </c>
      <c r="C24" t="inlineStr">
        <is>
          <t>Bill</t>
        </is>
      </c>
      <c r="D24" t="inlineStr">
        <is>
          <t/>
        </is>
      </c>
      <c r="E24" t="inlineStr">
        <is>
          <t>Payee 04</t>
        </is>
      </c>
      <c r="F24" t="inlineStr">
        <is>
          <t>Memo 04</t>
        </is>
      </c>
      <c r="G24" t="inlineStr">
        <is>
          <t>6300</t>
        </is>
      </c>
      <c r="H24" t="inlineStr">
        <is>
          <t>6300 Professional Fees:6310 Legal Fees</t>
        </is>
      </c>
      <c r="I24" s="1" t="n">
        <v>575.12</v>
      </c>
      <c r="K24" t="inlineStr">
        <is>
          <t/>
        </is>
      </c>
      <c r="L24" s="1" t="n">
        <v>1150.24</v>
      </c>
      <c r="M24" t="inlineStr">
        <is>
          <t/>
        </is>
      </c>
      <c r="N24" t="inlineStr">
        <is>
          <t>Payee 04</t>
        </is>
      </c>
    </row>
    <row r="25">
      <c r="A25" t="inlineStr">
        <is>
          <t>Total for 104</t>
        </is>
      </c>
      <c r="I25" s="2">
        <f>I23+I24</f>
        <v>575.12</v>
      </c>
      <c r="J25" s="2">
        <f>J23+J24</f>
        <v>575.12</v>
      </c>
    </row>
    <row r="26">
      <c r="A26" t="inlineStr">
        <is>
          <t>105</t>
        </is>
      </c>
    </row>
    <row r="27">
      <c r="B27" t="inlineStr">
        <is>
          <t>01/06/2026</t>
        </is>
      </c>
      <c r="C27" t="inlineStr">
        <is>
          <t>Deposit</t>
        </is>
      </c>
      <c r="D27" t="inlineStr">
        <is>
          <t/>
        </is>
      </c>
      <c r="E27" t="inlineStr">
        <is>
          <t>Payee 05</t>
        </is>
      </c>
      <c r="F27" t="inlineStr">
        <is>
          <t>Memo 05</t>
        </is>
      </c>
      <c r="G27" t="inlineStr">
        <is>
          <t/>
        </is>
      </c>
      <c r="H27" t="inlineStr">
        <is>
          <t>Riverbank BUSINESS CHECKING (0002)</t>
        </is>
      </c>
      <c r="I27" s="1" t="n">
        <v>712.65</v>
      </c>
      <c r="K27" t="inlineStr">
        <is>
          <t/>
        </is>
      </c>
      <c r="L27" s="1" t="n">
        <v>712.65000000001</v>
      </c>
      <c r="M27" t="inlineStr">
        <is>
          <t>Payee 05</t>
        </is>
      </c>
      <c r="N27" t="inlineStr">
        <is>
          <t/>
        </is>
      </c>
    </row>
    <row r="28">
      <c r="B28" t="inlineStr">
        <is>
          <t>01/06/2026</t>
        </is>
      </c>
      <c r="C28" t="inlineStr">
        <is>
          <t>Deposit</t>
        </is>
      </c>
      <c r="D28" t="inlineStr">
        <is>
          <t/>
        </is>
      </c>
      <c r="E28" t="inlineStr">
        <is>
          <t>Payee 05</t>
        </is>
      </c>
      <c r="F28" t="inlineStr">
        <is>
          <t>Memo 05</t>
        </is>
      </c>
      <c r="G28" t="inlineStr">
        <is>
          <t>3000</t>
        </is>
      </c>
      <c r="H28" t="inlineStr">
        <is>
          <t>3000 Member Equity</t>
        </is>
      </c>
      <c r="J28" s="1" t="n">
        <v>712.65</v>
      </c>
      <c r="K28" t="inlineStr">
        <is>
          <t/>
        </is>
      </c>
      <c r="L28" s="1" t="n">
        <v>1425.3</v>
      </c>
      <c r="M28" t="inlineStr">
        <is>
          <t>Payee 05</t>
        </is>
      </c>
      <c r="N28" t="inlineStr">
        <is>
          <t/>
        </is>
      </c>
    </row>
    <row r="29">
      <c r="A29" t="inlineStr">
        <is>
          <t>Total for 105</t>
        </is>
      </c>
      <c r="I29" s="2">
        <f>I27+I28</f>
        <v>712.65</v>
      </c>
      <c r="J29" s="2">
        <f>J27+J28</f>
        <v>712.65</v>
      </c>
    </row>
    <row r="30">
      <c r="A30" t="inlineStr">
        <is>
          <t>106</t>
        </is>
      </c>
    </row>
    <row r="31">
      <c r="B31" t="inlineStr">
        <is>
          <t>01/07/2026</t>
        </is>
      </c>
      <c r="C31" t="inlineStr">
        <is>
          <t>Expense</t>
        </is>
      </c>
      <c r="D31" t="inlineStr">
        <is>
          <t/>
        </is>
      </c>
      <c r="E31" t="inlineStr">
        <is>
          <t>Payee 06</t>
        </is>
      </c>
      <c r="F31" t="inlineStr">
        <is>
          <t>Memo 06</t>
        </is>
      </c>
      <c r="G31" t="inlineStr">
        <is>
          <t/>
        </is>
      </c>
      <c r="H31" t="inlineStr">
        <is>
          <t>2005 Northbank Credit Card</t>
        </is>
      </c>
      <c r="J31" s="1" t="n">
        <v>850.1799999999999</v>
      </c>
      <c r="K31" t="inlineStr">
        <is>
          <t/>
        </is>
      </c>
      <c r="L31" s="1" t="n">
        <v>850.18000000001</v>
      </c>
      <c r="M31" t="inlineStr">
        <is>
          <t/>
        </is>
      </c>
      <c r="N31" t="inlineStr">
        <is>
          <t>Payee 06</t>
        </is>
      </c>
    </row>
    <row r="32">
      <c r="B32" t="inlineStr">
        <is>
          <t>01/07/2026</t>
        </is>
      </c>
      <c r="C32" t="inlineStr">
        <is>
          <t>Expense</t>
        </is>
      </c>
      <c r="D32" t="inlineStr">
        <is>
          <t/>
        </is>
      </c>
      <c r="E32" t="inlineStr">
        <is>
          <t>Payee 06</t>
        </is>
      </c>
      <c r="F32" t="inlineStr">
        <is>
          <t>Memo 06</t>
        </is>
      </c>
      <c r="G32" t="inlineStr">
        <is>
          <t>6100</t>
        </is>
      </c>
      <c r="H32" t="inlineStr">
        <is>
          <t>6100 G&amp;A:6130 Bank Service Charges</t>
        </is>
      </c>
      <c r="I32" s="1" t="n">
        <v>850.1799999999999</v>
      </c>
      <c r="K32" t="inlineStr">
        <is>
          <t/>
        </is>
      </c>
      <c r="L32" s="1" t="n">
        <v>1700.36</v>
      </c>
      <c r="M32" t="inlineStr">
        <is>
          <t/>
        </is>
      </c>
      <c r="N32" t="inlineStr">
        <is>
          <t>Payee 06</t>
        </is>
      </c>
    </row>
    <row r="33">
      <c r="A33" t="inlineStr">
        <is>
          <t>Total for 106</t>
        </is>
      </c>
      <c r="I33" s="2">
        <f>I31+I32</f>
        <v>850.18</v>
      </c>
      <c r="J33" s="2">
        <f>J31+J32</f>
        <v>850.18</v>
      </c>
    </row>
    <row r="34">
      <c r="A34" t="inlineStr">
        <is>
          <t>107</t>
        </is>
      </c>
    </row>
    <row r="35">
      <c r="B35" t="inlineStr">
        <is>
          <t>01/08/2026</t>
        </is>
      </c>
      <c r="C35" t="inlineStr">
        <is>
          <t>Transfer</t>
        </is>
      </c>
      <c r="D35" t="inlineStr">
        <is>
          <t/>
        </is>
      </c>
      <c r="E35" t="inlineStr">
        <is>
          <t>Payee 07</t>
        </is>
      </c>
      <c r="F35" t="inlineStr">
        <is>
          <t>Memo 07</t>
        </is>
      </c>
      <c r="G35" t="inlineStr">
        <is>
          <t/>
        </is>
      </c>
      <c r="H35" t="inlineStr">
        <is>
          <t>Riverbank BUSINESS CHECKING (0002)</t>
        </is>
      </c>
      <c r="J35" s="1" t="n">
        <v>987.71</v>
      </c>
      <c r="K35" t="inlineStr">
        <is>
          <t/>
        </is>
      </c>
      <c r="L35" s="1" t="n">
        <v>987.71000000001</v>
      </c>
      <c r="M35" t="inlineStr">
        <is>
          <t/>
        </is>
      </c>
      <c r="N35" t="inlineStr">
        <is>
          <t>Payee 07</t>
        </is>
      </c>
    </row>
    <row r="36">
      <c r="B36" t="inlineStr">
        <is>
          <t>01/08/2026</t>
        </is>
      </c>
      <c r="C36" t="inlineStr">
        <is>
          <t>Transfer</t>
        </is>
      </c>
      <c r="D36" t="inlineStr">
        <is>
          <t/>
        </is>
      </c>
      <c r="E36" t="inlineStr">
        <is>
          <t>Payee 07</t>
        </is>
      </c>
      <c r="F36" t="inlineStr">
        <is>
          <t>Memo 07</t>
        </is>
      </c>
      <c r="G36" t="inlineStr">
        <is>
          <t>2005</t>
        </is>
      </c>
      <c r="H36" t="inlineStr">
        <is>
          <t>2005 Northbank Credit Card</t>
        </is>
      </c>
      <c r="I36" s="1" t="n">
        <v>987.71</v>
      </c>
      <c r="K36" t="inlineStr">
        <is>
          <t/>
        </is>
      </c>
      <c r="L36" s="1" t="n">
        <v>1975.42</v>
      </c>
      <c r="M36" t="inlineStr">
        <is>
          <t/>
        </is>
      </c>
      <c r="N36" t="inlineStr">
        <is>
          <t>Payee 07</t>
        </is>
      </c>
    </row>
    <row r="37">
      <c r="A37" t="inlineStr">
        <is>
          <t>Total for 107</t>
        </is>
      </c>
      <c r="I37" s="2">
        <f>I35+I36</f>
        <v>987.71</v>
      </c>
      <c r="J37" s="2">
        <f>J35+J36</f>
        <v>987.71</v>
      </c>
    </row>
    <row r="38">
      <c r="A38" t="inlineStr">
        <is>
          <t>108</t>
        </is>
      </c>
    </row>
    <row r="39">
      <c r="B39" t="inlineStr">
        <is>
          <t>01/09/2026</t>
        </is>
      </c>
      <c r="C39" t="inlineStr">
        <is>
          <t>Credit Card Expense</t>
        </is>
      </c>
      <c r="D39" t="inlineStr">
        <is>
          <t/>
        </is>
      </c>
      <c r="E39" t="inlineStr">
        <is>
          <t>Payee 08</t>
        </is>
      </c>
      <c r="F39" t="inlineStr">
        <is>
          <t>Memo 08</t>
        </is>
      </c>
      <c r="G39" t="inlineStr">
        <is>
          <t/>
        </is>
      </c>
      <c r="H39" t="inlineStr">
        <is>
          <t>2005 Northbank Credit Card</t>
        </is>
      </c>
      <c r="J39" s="1" t="n">
        <v>1125.24</v>
      </c>
      <c r="K39" t="inlineStr">
        <is>
          <t/>
        </is>
      </c>
      <c r="L39" s="1" t="n">
        <v>1125.24000000001</v>
      </c>
      <c r="M39" t="inlineStr">
        <is>
          <t/>
        </is>
      </c>
      <c r="N39" t="inlineStr">
        <is>
          <t>Payee 08</t>
        </is>
      </c>
    </row>
    <row r="40">
      <c r="B40" t="inlineStr">
        <is>
          <t>01/09/2026</t>
        </is>
      </c>
      <c r="C40" t="inlineStr">
        <is>
          <t>Credit Card Expense</t>
        </is>
      </c>
      <c r="D40" t="inlineStr">
        <is>
          <t/>
        </is>
      </c>
      <c r="E40" t="inlineStr">
        <is>
          <t>Payee 08</t>
        </is>
      </c>
      <c r="F40" t="inlineStr">
        <is>
          <t>Memo 08</t>
        </is>
      </c>
      <c r="G40" t="inlineStr">
        <is>
          <t>6600</t>
        </is>
      </c>
      <c r="H40" t="inlineStr">
        <is>
          <t>6600 Facilities &amp; Ops:6620 Software and Cloud Services</t>
        </is>
      </c>
      <c r="I40" s="1" t="n">
        <v>1125.24</v>
      </c>
      <c r="K40" t="inlineStr">
        <is>
          <t/>
        </is>
      </c>
      <c r="L40" s="1" t="n">
        <v>2250.48</v>
      </c>
      <c r="M40" t="inlineStr">
        <is>
          <t/>
        </is>
      </c>
      <c r="N40" t="inlineStr">
        <is>
          <t>Payee 08</t>
        </is>
      </c>
    </row>
    <row r="41">
      <c r="A41" t="inlineStr">
        <is>
          <t>Total for 108</t>
        </is>
      </c>
      <c r="I41" s="2">
        <f>I39+I40</f>
        <v>1125.24</v>
      </c>
      <c r="J41" s="2">
        <f>J39+J40</f>
        <v>1125.24</v>
      </c>
    </row>
    <row r="42">
      <c r="A42" t="inlineStr">
        <is>
          <t>109</t>
        </is>
      </c>
    </row>
    <row r="43">
      <c r="B43" t="inlineStr">
        <is>
          <t>01/10/2026</t>
        </is>
      </c>
      <c r="C43" t="inlineStr">
        <is>
          <t>Bill</t>
        </is>
      </c>
      <c r="D43" t="inlineStr">
        <is>
          <t/>
        </is>
      </c>
      <c r="E43" t="inlineStr">
        <is>
          <t>Payee 09</t>
        </is>
      </c>
      <c r="F43" t="inlineStr">
        <is>
          <t>Memo 09</t>
        </is>
      </c>
      <c r="G43" t="inlineStr">
        <is>
          <t/>
        </is>
      </c>
      <c r="H43" t="inlineStr">
        <is>
          <t>2000 Accounts Payable</t>
        </is>
      </c>
      <c r="J43" s="1" t="n">
        <v>1262.77</v>
      </c>
      <c r="K43" t="inlineStr">
        <is>
          <t/>
        </is>
      </c>
      <c r="L43" s="1" t="n">
        <v>1262.77000000001</v>
      </c>
      <c r="M43" t="inlineStr">
        <is>
          <t/>
        </is>
      </c>
      <c r="N43" t="inlineStr">
        <is>
          <t>Payee 09</t>
        </is>
      </c>
    </row>
    <row r="44">
      <c r="B44" t="inlineStr">
        <is>
          <t>01/10/2026</t>
        </is>
      </c>
      <c r="C44" t="inlineStr">
        <is>
          <t>Bill</t>
        </is>
      </c>
      <c r="D44" t="inlineStr">
        <is>
          <t/>
        </is>
      </c>
      <c r="E44" t="inlineStr">
        <is>
          <t>Payee 09</t>
        </is>
      </c>
      <c r="F44" t="inlineStr">
        <is>
          <t>Memo 09</t>
        </is>
      </c>
      <c r="G44" t="inlineStr">
        <is>
          <t>6300</t>
        </is>
      </c>
      <c r="H44" t="inlineStr">
        <is>
          <t>6300 Professional Fees:6310 Legal Fees</t>
        </is>
      </c>
      <c r="I44" s="1" t="n">
        <v>1262.77</v>
      </c>
      <c r="K44" t="inlineStr">
        <is>
          <t/>
        </is>
      </c>
      <c r="L44" s="1" t="n">
        <v>2525.54</v>
      </c>
      <c r="M44" t="inlineStr">
        <is>
          <t/>
        </is>
      </c>
      <c r="N44" t="inlineStr">
        <is>
          <t>Payee 09</t>
        </is>
      </c>
    </row>
    <row r="45">
      <c r="A45" t="inlineStr">
        <is>
          <t>Total for 109</t>
        </is>
      </c>
      <c r="I45" s="2">
        <f>I43+I44</f>
        <v>1262.77</v>
      </c>
      <c r="J45" s="2">
        <f>J43+J44</f>
        <v>1262.77</v>
      </c>
    </row>
    <row r="46">
      <c r="A46" t="inlineStr">
        <is>
          <t>110</t>
        </is>
      </c>
    </row>
    <row r="47">
      <c r="B47" t="inlineStr">
        <is>
          <t>01/11/2026</t>
        </is>
      </c>
      <c r="C47" t="inlineStr">
        <is>
          <t>Deposit</t>
        </is>
      </c>
      <c r="D47" t="inlineStr">
        <is>
          <t/>
        </is>
      </c>
      <c r="E47" t="inlineStr">
        <is>
          <t>Payee 10</t>
        </is>
      </c>
      <c r="F47" t="inlineStr">
        <is>
          <t>Memo 10</t>
        </is>
      </c>
      <c r="G47" t="inlineStr">
        <is>
          <t/>
        </is>
      </c>
      <c r="H47" t="inlineStr">
        <is>
          <t>Riverbank BUSINESS CHECKING (0002)</t>
        </is>
      </c>
      <c r="I47" s="1" t="n">
        <v>1400.3</v>
      </c>
      <c r="K47" t="inlineStr">
        <is>
          <t/>
        </is>
      </c>
      <c r="L47" s="1" t="n">
        <v>1400.30000000001</v>
      </c>
      <c r="M47" t="inlineStr">
        <is>
          <t>Payee 10</t>
        </is>
      </c>
      <c r="N47" t="inlineStr">
        <is>
          <t/>
        </is>
      </c>
    </row>
    <row r="48">
      <c r="B48" t="inlineStr">
        <is>
          <t>01/11/2026</t>
        </is>
      </c>
      <c r="C48" t="inlineStr">
        <is>
          <t>Deposit</t>
        </is>
      </c>
      <c r="D48" t="inlineStr">
        <is>
          <t/>
        </is>
      </c>
      <c r="E48" t="inlineStr">
        <is>
          <t>Payee 10</t>
        </is>
      </c>
      <c r="F48" t="inlineStr">
        <is>
          <t>Memo 10</t>
        </is>
      </c>
      <c r="G48" t="inlineStr">
        <is>
          <t>3000</t>
        </is>
      </c>
      <c r="H48" t="inlineStr">
        <is>
          <t>3000 Member Equity</t>
        </is>
      </c>
      <c r="J48" s="1" t="n">
        <v>1400.3</v>
      </c>
      <c r="K48" t="inlineStr">
        <is>
          <t/>
        </is>
      </c>
      <c r="L48" s="1" t="n">
        <v>2800.6</v>
      </c>
      <c r="M48" t="inlineStr">
        <is>
          <t>Payee 10</t>
        </is>
      </c>
      <c r="N48" t="inlineStr">
        <is>
          <t/>
        </is>
      </c>
    </row>
    <row r="49">
      <c r="A49" t="inlineStr">
        <is>
          <t>Total for 110</t>
        </is>
      </c>
      <c r="I49" s="2">
        <f>I47+I48</f>
        <v>1400.3</v>
      </c>
      <c r="J49" s="2">
        <f>J47+J48</f>
        <v>1400.3</v>
      </c>
    </row>
    <row r="50">
      <c r="A50" t="inlineStr">
        <is>
          <t>111</t>
        </is>
      </c>
    </row>
    <row r="51">
      <c r="B51" t="inlineStr">
        <is>
          <t>01/12/2026</t>
        </is>
      </c>
      <c r="C51" t="inlineStr">
        <is>
          <t>Expense</t>
        </is>
      </c>
      <c r="D51" t="inlineStr">
        <is>
          <t/>
        </is>
      </c>
      <c r="E51" t="inlineStr">
        <is>
          <t>Payee 11</t>
        </is>
      </c>
      <c r="F51" t="inlineStr">
        <is>
          <t>Memo 11</t>
        </is>
      </c>
      <c r="G51" t="inlineStr">
        <is>
          <t/>
        </is>
      </c>
      <c r="H51" t="inlineStr">
        <is>
          <t>2005 Northbank Credit Card</t>
        </is>
      </c>
      <c r="J51" s="1" t="n">
        <v>1537.83</v>
      </c>
      <c r="K51" t="inlineStr">
        <is>
          <t/>
        </is>
      </c>
      <c r="L51" s="1" t="n">
        <v>1537.83000000001</v>
      </c>
      <c r="M51" t="inlineStr">
        <is>
          <t/>
        </is>
      </c>
      <c r="N51" t="inlineStr">
        <is>
          <t>Payee 11</t>
        </is>
      </c>
    </row>
    <row r="52">
      <c r="B52" t="inlineStr">
        <is>
          <t>01/12/2026</t>
        </is>
      </c>
      <c r="C52" t="inlineStr">
        <is>
          <t>Expense</t>
        </is>
      </c>
      <c r="D52" t="inlineStr">
        <is>
          <t/>
        </is>
      </c>
      <c r="E52" t="inlineStr">
        <is>
          <t>Payee 11</t>
        </is>
      </c>
      <c r="F52" t="inlineStr">
        <is>
          <t>Memo 11</t>
        </is>
      </c>
      <c r="G52" t="inlineStr">
        <is>
          <t>6100</t>
        </is>
      </c>
      <c r="H52" t="inlineStr">
        <is>
          <t>6100 G&amp;A:6130 Bank Service Charges</t>
        </is>
      </c>
      <c r="I52" s="1" t="n">
        <v>1537.83</v>
      </c>
      <c r="K52" t="inlineStr">
        <is>
          <t/>
        </is>
      </c>
      <c r="L52" s="1" t="n">
        <v>3075.66</v>
      </c>
      <c r="M52" t="inlineStr">
        <is>
          <t/>
        </is>
      </c>
      <c r="N52" t="inlineStr">
        <is>
          <t>Payee 11</t>
        </is>
      </c>
    </row>
    <row r="53">
      <c r="A53" t="inlineStr">
        <is>
          <t>Total for 111</t>
        </is>
      </c>
      <c r="I53" s="2">
        <f>I51+I52</f>
        <v>1537.83</v>
      </c>
      <c r="J53" s="2">
        <f>J51+J52</f>
        <v>1537.83</v>
      </c>
    </row>
    <row r="54">
      <c r="A54" t="inlineStr">
        <is>
          <t>112</t>
        </is>
      </c>
    </row>
    <row r="55">
      <c r="B55" t="inlineStr">
        <is>
          <t>01/13/2026</t>
        </is>
      </c>
      <c r="C55" t="inlineStr">
        <is>
          <t>Transfer</t>
        </is>
      </c>
      <c r="D55" t="inlineStr">
        <is>
          <t/>
        </is>
      </c>
      <c r="E55" t="inlineStr">
        <is>
          <t>Payee 12</t>
        </is>
      </c>
      <c r="F55" t="inlineStr">
        <is>
          <t>Memo 12</t>
        </is>
      </c>
      <c r="G55" t="inlineStr">
        <is>
          <t/>
        </is>
      </c>
      <c r="H55" t="inlineStr">
        <is>
          <t>Riverbank BUSINESS CHECKING (0002)</t>
        </is>
      </c>
      <c r="J55" s="1" t="n">
        <v>1675.36</v>
      </c>
      <c r="K55" t="inlineStr">
        <is>
          <t/>
        </is>
      </c>
      <c r="L55" s="1" t="n">
        <v>1675.36000000001</v>
      </c>
      <c r="M55" t="inlineStr">
        <is>
          <t/>
        </is>
      </c>
      <c r="N55" t="inlineStr">
        <is>
          <t>Payee 12</t>
        </is>
      </c>
    </row>
    <row r="56">
      <c r="B56" t="inlineStr">
        <is>
          <t>01/13/2026</t>
        </is>
      </c>
      <c r="C56" t="inlineStr">
        <is>
          <t>Transfer</t>
        </is>
      </c>
      <c r="D56" t="inlineStr">
        <is>
          <t/>
        </is>
      </c>
      <c r="E56" t="inlineStr">
        <is>
          <t>Payee 12</t>
        </is>
      </c>
      <c r="F56" t="inlineStr">
        <is>
          <t>Memo 12</t>
        </is>
      </c>
      <c r="G56" t="inlineStr">
        <is>
          <t>2005</t>
        </is>
      </c>
      <c r="H56" t="inlineStr">
        <is>
          <t>2005 Northbank Credit Card</t>
        </is>
      </c>
      <c r="I56" s="1" t="n">
        <v>1675.36</v>
      </c>
      <c r="K56" t="inlineStr">
        <is>
          <t/>
        </is>
      </c>
      <c r="L56" s="1" t="n">
        <v>3350.72</v>
      </c>
      <c r="M56" t="inlineStr">
        <is>
          <t/>
        </is>
      </c>
      <c r="N56" t="inlineStr">
        <is>
          <t>Payee 12</t>
        </is>
      </c>
    </row>
    <row r="57">
      <c r="A57" t="inlineStr">
        <is>
          <t>Total for 112</t>
        </is>
      </c>
      <c r="I57" s="2">
        <f>I55+I56</f>
        <v>1675.36</v>
      </c>
      <c r="J57" s="2">
        <f>J55+J56</f>
        <v>1675.36</v>
      </c>
    </row>
    <row r="58">
      <c r="A58" t="inlineStr">
        <is>
          <t>113</t>
        </is>
      </c>
    </row>
    <row r="59">
      <c r="B59" t="inlineStr">
        <is>
          <t>01/14/2026</t>
        </is>
      </c>
      <c r="C59" t="inlineStr">
        <is>
          <t>Credit Card Expense</t>
        </is>
      </c>
      <c r="D59" t="inlineStr">
        <is>
          <t/>
        </is>
      </c>
      <c r="E59" t="inlineStr">
        <is>
          <t>Payee 13</t>
        </is>
      </c>
      <c r="F59" t="inlineStr">
        <is>
          <t>Memo 13</t>
        </is>
      </c>
      <c r="G59" t="inlineStr">
        <is>
          <t/>
        </is>
      </c>
      <c r="H59" t="inlineStr">
        <is>
          <t>2005 Northbank Credit Card</t>
        </is>
      </c>
      <c r="J59" s="1" t="n">
        <v>1812.89</v>
      </c>
      <c r="K59" t="inlineStr">
        <is>
          <t/>
        </is>
      </c>
      <c r="L59" s="1" t="n">
        <v>1812.89000000001</v>
      </c>
      <c r="M59" t="inlineStr">
        <is>
          <t/>
        </is>
      </c>
      <c r="N59" t="inlineStr">
        <is>
          <t>Payee 13</t>
        </is>
      </c>
    </row>
    <row r="60">
      <c r="B60" t="inlineStr">
        <is>
          <t>01/14/2026</t>
        </is>
      </c>
      <c r="C60" t="inlineStr">
        <is>
          <t>Credit Card Expense</t>
        </is>
      </c>
      <c r="D60" t="inlineStr">
        <is>
          <t/>
        </is>
      </c>
      <c r="E60" t="inlineStr">
        <is>
          <t>Payee 13</t>
        </is>
      </c>
      <c r="F60" t="inlineStr">
        <is>
          <t>Memo 13</t>
        </is>
      </c>
      <c r="G60" t="inlineStr">
        <is>
          <t>6600</t>
        </is>
      </c>
      <c r="H60" t="inlineStr">
        <is>
          <t>6600 Facilities &amp; Ops:6620 Software and Cloud Services</t>
        </is>
      </c>
      <c r="I60" s="1" t="n">
        <v>1812.89</v>
      </c>
      <c r="K60" t="inlineStr">
        <is>
          <t/>
        </is>
      </c>
      <c r="L60" s="1" t="n">
        <v>3625.78</v>
      </c>
      <c r="M60" t="inlineStr">
        <is>
          <t/>
        </is>
      </c>
      <c r="N60" t="inlineStr">
        <is>
          <t>Payee 13</t>
        </is>
      </c>
    </row>
    <row r="61">
      <c r="A61" t="inlineStr">
        <is>
          <t>Total for 113</t>
        </is>
      </c>
      <c r="I61" s="2">
        <f>I59+I60</f>
        <v>1812.89</v>
      </c>
      <c r="J61" s="2">
        <f>J59+J60</f>
        <v>1812.89</v>
      </c>
    </row>
    <row r="62">
      <c r="A62" t="inlineStr">
        <is>
          <t>114</t>
        </is>
      </c>
    </row>
    <row r="63">
      <c r="B63" t="inlineStr">
        <is>
          <t>01/15/2026</t>
        </is>
      </c>
      <c r="C63" t="inlineStr">
        <is>
          <t>Bill</t>
        </is>
      </c>
      <c r="D63" t="inlineStr">
        <is>
          <t/>
        </is>
      </c>
      <c r="E63" t="inlineStr">
        <is>
          <t>Payee 14</t>
        </is>
      </c>
      <c r="F63" t="inlineStr">
        <is>
          <t>Memo 14</t>
        </is>
      </c>
      <c r="G63" t="inlineStr">
        <is>
          <t/>
        </is>
      </c>
      <c r="H63" t="inlineStr">
        <is>
          <t>2000 Accounts Payable</t>
        </is>
      </c>
      <c r="J63" s="1" t="n">
        <v>1950.42</v>
      </c>
      <c r="K63" t="inlineStr">
        <is>
          <t/>
        </is>
      </c>
      <c r="L63" s="1" t="n">
        <v>1950.42000000001</v>
      </c>
      <c r="M63" t="inlineStr">
        <is>
          <t/>
        </is>
      </c>
      <c r="N63" t="inlineStr">
        <is>
          <t>Payee 14</t>
        </is>
      </c>
    </row>
    <row r="64">
      <c r="B64" t="inlineStr">
        <is>
          <t>01/15/2026</t>
        </is>
      </c>
      <c r="C64" t="inlineStr">
        <is>
          <t>Bill</t>
        </is>
      </c>
      <c r="D64" t="inlineStr">
        <is>
          <t/>
        </is>
      </c>
      <c r="E64" t="inlineStr">
        <is>
          <t>Payee 14</t>
        </is>
      </c>
      <c r="F64" t="inlineStr">
        <is>
          <t>Memo 14</t>
        </is>
      </c>
      <c r="G64" t="inlineStr">
        <is>
          <t>6300</t>
        </is>
      </c>
      <c r="H64" t="inlineStr">
        <is>
          <t>6300 Professional Fees:6310 Legal Fees</t>
        </is>
      </c>
      <c r="I64" s="1" t="n">
        <v>1950.42</v>
      </c>
      <c r="K64" t="inlineStr">
        <is>
          <t/>
        </is>
      </c>
      <c r="L64" s="1" t="n">
        <v>3900.84</v>
      </c>
      <c r="M64" t="inlineStr">
        <is>
          <t/>
        </is>
      </c>
      <c r="N64" t="inlineStr">
        <is>
          <t>Payee 14</t>
        </is>
      </c>
    </row>
    <row r="65">
      <c r="A65" t="inlineStr">
        <is>
          <t>Total for 114</t>
        </is>
      </c>
      <c r="I65" s="2">
        <f>I63+I64</f>
        <v>1950.42</v>
      </c>
      <c r="J65" s="2">
        <f>J63+J64</f>
        <v>1950.42</v>
      </c>
    </row>
    <row r="66">
      <c r="A66" t="inlineStr">
        <is>
          <t>115</t>
        </is>
      </c>
    </row>
    <row r="67">
      <c r="B67" t="inlineStr">
        <is>
          <t>01/16/2026</t>
        </is>
      </c>
      <c r="C67" t="inlineStr">
        <is>
          <t>Deposit</t>
        </is>
      </c>
      <c r="D67" t="inlineStr">
        <is>
          <t/>
        </is>
      </c>
      <c r="E67" t="inlineStr">
        <is>
          <t>Payee 15</t>
        </is>
      </c>
      <c r="F67" t="inlineStr">
        <is>
          <t>Memo 15</t>
        </is>
      </c>
      <c r="G67" t="inlineStr">
        <is>
          <t/>
        </is>
      </c>
      <c r="H67" t="inlineStr">
        <is>
          <t>Riverbank BUSINESS CHECKING (0002)</t>
        </is>
      </c>
      <c r="I67" s="1" t="n">
        <v>2087.95</v>
      </c>
      <c r="K67" t="inlineStr">
        <is>
          <t/>
        </is>
      </c>
      <c r="L67" s="1" t="n">
        <v>2087.95000000001</v>
      </c>
      <c r="M67" t="inlineStr">
        <is>
          <t>Payee 15</t>
        </is>
      </c>
      <c r="N67" t="inlineStr">
        <is>
          <t/>
        </is>
      </c>
    </row>
    <row r="68">
      <c r="B68" t="inlineStr">
        <is>
          <t>01/16/2026</t>
        </is>
      </c>
      <c r="C68" t="inlineStr">
        <is>
          <t>Deposit</t>
        </is>
      </c>
      <c r="D68" t="inlineStr">
        <is>
          <t/>
        </is>
      </c>
      <c r="E68" t="inlineStr">
        <is>
          <t>Payee 15</t>
        </is>
      </c>
      <c r="F68" t="inlineStr">
        <is>
          <t>Memo 15</t>
        </is>
      </c>
      <c r="G68" t="inlineStr">
        <is>
          <t>3000</t>
        </is>
      </c>
      <c r="H68" t="inlineStr">
        <is>
          <t>3000 Member Equity</t>
        </is>
      </c>
      <c r="J68" s="1" t="n">
        <v>2087.95</v>
      </c>
      <c r="K68" t="inlineStr">
        <is>
          <t/>
        </is>
      </c>
      <c r="L68" s="1" t="n">
        <v>4175.9</v>
      </c>
      <c r="M68" t="inlineStr">
        <is>
          <t>Payee 15</t>
        </is>
      </c>
      <c r="N68" t="inlineStr">
        <is>
          <t/>
        </is>
      </c>
    </row>
    <row r="69">
      <c r="A69" t="inlineStr">
        <is>
          <t>Total for 115</t>
        </is>
      </c>
      <c r="I69" s="2">
        <f>I67+I68</f>
        <v>2087.95</v>
      </c>
      <c r="J69" s="2">
        <f>J67+J68</f>
        <v>2087.95</v>
      </c>
    </row>
    <row r="70">
      <c r="A70" t="inlineStr">
        <is>
          <t>116</t>
        </is>
      </c>
    </row>
    <row r="71">
      <c r="B71" t="inlineStr">
        <is>
          <t>01/17/2026</t>
        </is>
      </c>
      <c r="C71" t="inlineStr">
        <is>
          <t>Expense</t>
        </is>
      </c>
      <c r="D71" t="inlineStr">
        <is>
          <t/>
        </is>
      </c>
      <c r="E71" t="inlineStr">
        <is>
          <t>Payee 16</t>
        </is>
      </c>
      <c r="F71" t="inlineStr">
        <is>
          <t>Memo 16</t>
        </is>
      </c>
      <c r="G71" t="inlineStr">
        <is>
          <t/>
        </is>
      </c>
      <c r="H71" t="inlineStr">
        <is>
          <t>2005 Northbank Credit Card</t>
        </is>
      </c>
      <c r="J71" s="1" t="n">
        <v>2225.48</v>
      </c>
      <c r="K71" t="inlineStr">
        <is>
          <t/>
        </is>
      </c>
      <c r="L71" s="1" t="n">
        <v>2225.48000000001</v>
      </c>
      <c r="M71" t="inlineStr">
        <is>
          <t/>
        </is>
      </c>
      <c r="N71" t="inlineStr">
        <is>
          <t>Payee 16</t>
        </is>
      </c>
    </row>
    <row r="72">
      <c r="B72" t="inlineStr">
        <is>
          <t>01/17/2026</t>
        </is>
      </c>
      <c r="C72" t="inlineStr">
        <is>
          <t>Expense</t>
        </is>
      </c>
      <c r="D72" t="inlineStr">
        <is>
          <t/>
        </is>
      </c>
      <c r="E72" t="inlineStr">
        <is>
          <t>Payee 16</t>
        </is>
      </c>
      <c r="F72" t="inlineStr">
        <is>
          <t>Memo 16</t>
        </is>
      </c>
      <c r="G72" t="inlineStr">
        <is>
          <t>6100</t>
        </is>
      </c>
      <c r="H72" t="inlineStr">
        <is>
          <t>6100 G&amp;A:6130 Bank Service Charges</t>
        </is>
      </c>
      <c r="I72" s="1" t="n">
        <v>2225.48</v>
      </c>
      <c r="K72" t="inlineStr">
        <is>
          <t/>
        </is>
      </c>
      <c r="L72" s="1" t="n">
        <v>4450.96</v>
      </c>
      <c r="M72" t="inlineStr">
        <is>
          <t/>
        </is>
      </c>
      <c r="N72" t="inlineStr">
        <is>
          <t>Payee 16</t>
        </is>
      </c>
    </row>
    <row r="73">
      <c r="A73" t="inlineStr">
        <is>
          <t>Total for 116</t>
        </is>
      </c>
      <c r="I73" s="2">
        <f>I71+I72</f>
        <v>2225.48</v>
      </c>
      <c r="J73" s="2">
        <f>J71+J72</f>
        <v>2225.48</v>
      </c>
    </row>
    <row r="74">
      <c r="A74" t="inlineStr">
        <is>
          <t>117</t>
        </is>
      </c>
    </row>
    <row r="75">
      <c r="B75" t="inlineStr">
        <is>
          <t>01/18/2026</t>
        </is>
      </c>
      <c r="C75" t="inlineStr">
        <is>
          <t>Transfer</t>
        </is>
      </c>
      <c r="D75" t="inlineStr">
        <is>
          <t/>
        </is>
      </c>
      <c r="E75" t="inlineStr">
        <is>
          <t>Payee 17</t>
        </is>
      </c>
      <c r="F75" t="inlineStr">
        <is>
          <t>Memo 17</t>
        </is>
      </c>
      <c r="G75" t="inlineStr">
        <is>
          <t/>
        </is>
      </c>
      <c r="H75" t="inlineStr">
        <is>
          <t>Riverbank BUSINESS CHECKING (0002)</t>
        </is>
      </c>
      <c r="J75" s="1" t="n">
        <v>2363.01</v>
      </c>
      <c r="K75" t="inlineStr">
        <is>
          <t/>
        </is>
      </c>
      <c r="L75" s="1" t="n">
        <v>2363.01000000001</v>
      </c>
      <c r="M75" t="inlineStr">
        <is>
          <t/>
        </is>
      </c>
      <c r="N75" t="inlineStr">
        <is>
          <t>Payee 17</t>
        </is>
      </c>
    </row>
    <row r="76">
      <c r="B76" t="inlineStr">
        <is>
          <t>01/18/2026</t>
        </is>
      </c>
      <c r="C76" t="inlineStr">
        <is>
          <t>Transfer</t>
        </is>
      </c>
      <c r="D76" t="inlineStr">
        <is>
          <t/>
        </is>
      </c>
      <c r="E76" t="inlineStr">
        <is>
          <t>Payee 17</t>
        </is>
      </c>
      <c r="F76" t="inlineStr">
        <is>
          <t>Memo 17</t>
        </is>
      </c>
      <c r="G76" t="inlineStr">
        <is>
          <t>2005</t>
        </is>
      </c>
      <c r="H76" t="inlineStr">
        <is>
          <t>2005 Northbank Credit Card</t>
        </is>
      </c>
      <c r="I76" s="1" t="n">
        <v>2363.01</v>
      </c>
      <c r="K76" t="inlineStr">
        <is>
          <t/>
        </is>
      </c>
      <c r="L76" s="1" t="n">
        <v>4726.02</v>
      </c>
      <c r="M76" t="inlineStr">
        <is>
          <t/>
        </is>
      </c>
      <c r="N76" t="inlineStr">
        <is>
          <t>Payee 17</t>
        </is>
      </c>
    </row>
    <row r="77">
      <c r="A77" t="inlineStr">
        <is>
          <t>Total for 117</t>
        </is>
      </c>
      <c r="I77" s="2">
        <f>I75+I76</f>
        <v>2363.01</v>
      </c>
      <c r="J77" s="2">
        <f>J75+J76</f>
        <v>2363.01</v>
      </c>
    </row>
    <row r="78">
      <c r="A78" t="inlineStr">
        <is>
          <t>118</t>
        </is>
      </c>
    </row>
    <row r="79">
      <c r="B79" t="inlineStr">
        <is>
          <t>01/19/2026</t>
        </is>
      </c>
      <c r="C79" t="inlineStr">
        <is>
          <t>Credit Card Expense</t>
        </is>
      </c>
      <c r="D79" t="inlineStr">
        <is>
          <t/>
        </is>
      </c>
      <c r="E79" t="inlineStr">
        <is>
          <t>Payee 18</t>
        </is>
      </c>
      <c r="F79" t="inlineStr">
        <is>
          <t>Memo 18</t>
        </is>
      </c>
      <c r="G79" t="inlineStr">
        <is>
          <t/>
        </is>
      </c>
      <c r="H79" t="inlineStr">
        <is>
          <t>2005 Northbank Credit Card</t>
        </is>
      </c>
      <c r="J79" s="1" t="n">
        <v>2500.54</v>
      </c>
      <c r="K79" t="inlineStr">
        <is>
          <t/>
        </is>
      </c>
      <c r="L79" s="1" t="n">
        <v>2500.54000000001</v>
      </c>
      <c r="M79" t="inlineStr">
        <is>
          <t/>
        </is>
      </c>
      <c r="N79" t="inlineStr">
        <is>
          <t>Payee 18</t>
        </is>
      </c>
    </row>
    <row r="80">
      <c r="B80" t="inlineStr">
        <is>
          <t>01/19/2026</t>
        </is>
      </c>
      <c r="C80" t="inlineStr">
        <is>
          <t>Credit Card Expense</t>
        </is>
      </c>
      <c r="D80" t="inlineStr">
        <is>
          <t/>
        </is>
      </c>
      <c r="E80" t="inlineStr">
        <is>
          <t>Payee 18</t>
        </is>
      </c>
      <c r="F80" t="inlineStr">
        <is>
          <t>Memo 18</t>
        </is>
      </c>
      <c r="G80" t="inlineStr">
        <is>
          <t>6600</t>
        </is>
      </c>
      <c r="H80" t="inlineStr">
        <is>
          <t>6600 Facilities &amp; Ops:6620 Software and Cloud Services</t>
        </is>
      </c>
      <c r="I80" s="1" t="n">
        <v>2500.54</v>
      </c>
      <c r="K80" t="inlineStr">
        <is>
          <t/>
        </is>
      </c>
      <c r="L80" s="1" t="n">
        <v>5001.08</v>
      </c>
      <c r="M80" t="inlineStr">
        <is>
          <t/>
        </is>
      </c>
      <c r="N80" t="inlineStr">
        <is>
          <t>Payee 18</t>
        </is>
      </c>
    </row>
    <row r="81">
      <c r="A81" t="inlineStr">
        <is>
          <t>Total for 118</t>
        </is>
      </c>
      <c r="I81" s="2">
        <f>I79+I80</f>
        <v>2500.54</v>
      </c>
      <c r="J81" s="2">
        <f>J79+J80</f>
        <v>2500.54</v>
      </c>
    </row>
    <row r="82">
      <c r="A82" t="inlineStr">
        <is>
          <t>119</t>
        </is>
      </c>
    </row>
    <row r="83">
      <c r="B83" t="inlineStr">
        <is>
          <t>01/20/2026</t>
        </is>
      </c>
      <c r="C83" t="inlineStr">
        <is>
          <t>Bill</t>
        </is>
      </c>
      <c r="D83" t="inlineStr">
        <is>
          <t/>
        </is>
      </c>
      <c r="E83" t="inlineStr">
        <is>
          <t>Payee 19</t>
        </is>
      </c>
      <c r="F83" t="inlineStr">
        <is>
          <t>Memo 19</t>
        </is>
      </c>
      <c r="G83" t="inlineStr">
        <is>
          <t/>
        </is>
      </c>
      <c r="H83" t="inlineStr">
        <is>
          <t>2000 Accounts Payable</t>
        </is>
      </c>
      <c r="J83" s="1" t="n">
        <v>2638.07</v>
      </c>
      <c r="K83" t="inlineStr">
        <is>
          <t/>
        </is>
      </c>
      <c r="L83" s="1" t="n">
        <v>2638.07000000001</v>
      </c>
      <c r="M83" t="inlineStr">
        <is>
          <t/>
        </is>
      </c>
      <c r="N83" t="inlineStr">
        <is>
          <t>Payee 19</t>
        </is>
      </c>
    </row>
    <row r="84">
      <c r="B84" t="inlineStr">
        <is>
          <t>01/20/2026</t>
        </is>
      </c>
      <c r="C84" t="inlineStr">
        <is>
          <t>Bill</t>
        </is>
      </c>
      <c r="D84" t="inlineStr">
        <is>
          <t/>
        </is>
      </c>
      <c r="E84" t="inlineStr">
        <is>
          <t>Payee 19</t>
        </is>
      </c>
      <c r="F84" t="inlineStr">
        <is>
          <t>Memo 19</t>
        </is>
      </c>
      <c r="G84" t="inlineStr">
        <is>
          <t>6300</t>
        </is>
      </c>
      <c r="H84" t="inlineStr">
        <is>
          <t>6300 Professional Fees:6310 Legal Fees</t>
        </is>
      </c>
      <c r="I84" s="1" t="n">
        <v>2638.07</v>
      </c>
      <c r="K84" t="inlineStr">
        <is>
          <t/>
        </is>
      </c>
      <c r="L84" s="1" t="n">
        <v>5276.14</v>
      </c>
      <c r="M84" t="inlineStr">
        <is>
          <t/>
        </is>
      </c>
      <c r="N84" t="inlineStr">
        <is>
          <t>Payee 19</t>
        </is>
      </c>
    </row>
    <row r="85">
      <c r="A85" t="inlineStr">
        <is>
          <t>Total for 119</t>
        </is>
      </c>
      <c r="I85" s="2">
        <f>I83+I84</f>
        <v>2638.07</v>
      </c>
      <c r="J85" s="2">
        <f>J83+J84</f>
        <v>2638.07</v>
      </c>
    </row>
    <row r="86">
      <c r="A86" t="inlineStr">
        <is>
          <t>120</t>
        </is>
      </c>
    </row>
    <row r="87">
      <c r="B87" t="inlineStr">
        <is>
          <t>01/01/2026</t>
        </is>
      </c>
      <c r="C87" t="inlineStr">
        <is>
          <t>Deposit</t>
        </is>
      </c>
      <c r="D87" t="inlineStr">
        <is>
          <t/>
        </is>
      </c>
      <c r="E87" t="inlineStr">
        <is>
          <t>Payee 20</t>
        </is>
      </c>
      <c r="F87" t="inlineStr">
        <is>
          <t>Memo 20</t>
        </is>
      </c>
      <c r="G87" t="inlineStr">
        <is>
          <t/>
        </is>
      </c>
      <c r="H87" t="inlineStr">
        <is>
          <t>Riverbank BUSINESS CHECKING (0002)</t>
        </is>
      </c>
      <c r="I87" s="1" t="n">
        <v>2775.6</v>
      </c>
      <c r="K87" t="inlineStr">
        <is>
          <t/>
        </is>
      </c>
      <c r="L87" s="1" t="n">
        <v>2775.60000000001</v>
      </c>
      <c r="M87" t="inlineStr">
        <is>
          <t>Payee 20</t>
        </is>
      </c>
      <c r="N87" t="inlineStr">
        <is>
          <t/>
        </is>
      </c>
    </row>
    <row r="88">
      <c r="B88" t="inlineStr">
        <is>
          <t>01/01/2026</t>
        </is>
      </c>
      <c r="C88" t="inlineStr">
        <is>
          <t>Deposit</t>
        </is>
      </c>
      <c r="D88" t="inlineStr">
        <is>
          <t/>
        </is>
      </c>
      <c r="E88" t="inlineStr">
        <is>
          <t>Payee 20</t>
        </is>
      </c>
      <c r="F88" t="inlineStr">
        <is>
          <t>Memo 20</t>
        </is>
      </c>
      <c r="G88" t="inlineStr">
        <is>
          <t>3000</t>
        </is>
      </c>
      <c r="H88" t="inlineStr">
        <is>
          <t>3000 Member Equity</t>
        </is>
      </c>
      <c r="J88" s="1" t="n">
        <v>2775.6</v>
      </c>
      <c r="K88" t="inlineStr">
        <is>
          <t/>
        </is>
      </c>
      <c r="L88" s="1" t="n">
        <v>5551.2</v>
      </c>
      <c r="M88" t="inlineStr">
        <is>
          <t>Payee 20</t>
        </is>
      </c>
      <c r="N88" t="inlineStr">
        <is>
          <t/>
        </is>
      </c>
    </row>
    <row r="89">
      <c r="A89" t="inlineStr">
        <is>
          <t>Total for 120</t>
        </is>
      </c>
      <c r="I89" s="2">
        <f>I87+I88</f>
        <v>2775.6</v>
      </c>
      <c r="J89" s="2">
        <f>J87+J88</f>
        <v>2775.6</v>
      </c>
    </row>
    <row r="90">
      <c r="A90" t="inlineStr">
        <is>
          <t>121</t>
        </is>
      </c>
    </row>
    <row r="91">
      <c r="B91" t="inlineStr">
        <is>
          <t>01/02/2026</t>
        </is>
      </c>
      <c r="C91" t="inlineStr">
        <is>
          <t>Expense</t>
        </is>
      </c>
      <c r="D91" t="inlineStr">
        <is>
          <t/>
        </is>
      </c>
      <c r="E91" t="inlineStr">
        <is>
          <t>Payee 21</t>
        </is>
      </c>
      <c r="F91" t="inlineStr">
        <is>
          <t>Memo 21</t>
        </is>
      </c>
      <c r="G91" t="inlineStr">
        <is>
          <t/>
        </is>
      </c>
      <c r="H91" t="inlineStr">
        <is>
          <t>2005 Northbank Credit Card</t>
        </is>
      </c>
      <c r="J91" s="1" t="n">
        <v>2913.13</v>
      </c>
      <c r="K91" t="inlineStr">
        <is>
          <t/>
        </is>
      </c>
      <c r="L91" s="1" t="n">
        <v>2913.13000000001</v>
      </c>
      <c r="M91" t="inlineStr">
        <is>
          <t/>
        </is>
      </c>
      <c r="N91" t="inlineStr">
        <is>
          <t>Payee 21</t>
        </is>
      </c>
    </row>
    <row r="92">
      <c r="B92" t="inlineStr">
        <is>
          <t>01/02/2026</t>
        </is>
      </c>
      <c r="C92" t="inlineStr">
        <is>
          <t>Expense</t>
        </is>
      </c>
      <c r="D92" t="inlineStr">
        <is>
          <t/>
        </is>
      </c>
      <c r="E92" t="inlineStr">
        <is>
          <t>Payee 21</t>
        </is>
      </c>
      <c r="F92" t="inlineStr">
        <is>
          <t>Memo 21</t>
        </is>
      </c>
      <c r="G92" t="inlineStr">
        <is>
          <t>6100</t>
        </is>
      </c>
      <c r="H92" t="inlineStr">
        <is>
          <t>6100 G&amp;A:6130 Bank Service Charges</t>
        </is>
      </c>
      <c r="I92" s="1" t="n">
        <v>2913.13</v>
      </c>
      <c r="K92" t="inlineStr">
        <is>
          <t/>
        </is>
      </c>
      <c r="L92" s="1" t="n">
        <v>5826.26</v>
      </c>
      <c r="M92" t="inlineStr">
        <is>
          <t/>
        </is>
      </c>
      <c r="N92" t="inlineStr">
        <is>
          <t>Payee 21</t>
        </is>
      </c>
    </row>
    <row r="93">
      <c r="A93" t="inlineStr">
        <is>
          <t>Total for 121</t>
        </is>
      </c>
      <c r="I93" s="2">
        <f>I91+I92</f>
        <v>2913.13</v>
      </c>
      <c r="J93" s="2">
        <f>J91+J92</f>
        <v>2913.13</v>
      </c>
    </row>
    <row r="94">
      <c r="A94" t="inlineStr">
        <is>
          <t>122</t>
        </is>
      </c>
    </row>
    <row r="95">
      <c r="B95" t="inlineStr">
        <is>
          <t>01/03/2026</t>
        </is>
      </c>
      <c r="C95" t="inlineStr">
        <is>
          <t>Transfer</t>
        </is>
      </c>
      <c r="D95" t="inlineStr">
        <is>
          <t/>
        </is>
      </c>
      <c r="E95" t="inlineStr">
        <is>
          <t>Payee 22</t>
        </is>
      </c>
      <c r="F95" t="inlineStr">
        <is>
          <t>Memo 22</t>
        </is>
      </c>
      <c r="G95" t="inlineStr">
        <is>
          <t/>
        </is>
      </c>
      <c r="H95" t="inlineStr">
        <is>
          <t>Riverbank BUSINESS CHECKING (0002)</t>
        </is>
      </c>
      <c r="J95" s="1" t="n">
        <v>3050.66</v>
      </c>
      <c r="K95" t="inlineStr">
        <is>
          <t/>
        </is>
      </c>
      <c r="L95" s="1" t="n">
        <v>3050.66000000001</v>
      </c>
      <c r="M95" t="inlineStr">
        <is>
          <t/>
        </is>
      </c>
      <c r="N95" t="inlineStr">
        <is>
          <t>Payee 22</t>
        </is>
      </c>
    </row>
    <row r="96">
      <c r="B96" t="inlineStr">
        <is>
          <t>01/03/2026</t>
        </is>
      </c>
      <c r="C96" t="inlineStr">
        <is>
          <t>Transfer</t>
        </is>
      </c>
      <c r="D96" t="inlineStr">
        <is>
          <t/>
        </is>
      </c>
      <c r="E96" t="inlineStr">
        <is>
          <t>Payee 22</t>
        </is>
      </c>
      <c r="F96" t="inlineStr">
        <is>
          <t>Memo 22</t>
        </is>
      </c>
      <c r="G96" t="inlineStr">
        <is>
          <t>2005</t>
        </is>
      </c>
      <c r="H96" t="inlineStr">
        <is>
          <t>2005 Northbank Credit Card</t>
        </is>
      </c>
      <c r="I96" s="1" t="n">
        <v>3050.66</v>
      </c>
      <c r="K96" t="inlineStr">
        <is>
          <t/>
        </is>
      </c>
      <c r="L96" s="1" t="n">
        <v>6101.32</v>
      </c>
      <c r="M96" t="inlineStr">
        <is>
          <t/>
        </is>
      </c>
      <c r="N96" t="inlineStr">
        <is>
          <t>Payee 22</t>
        </is>
      </c>
    </row>
    <row r="97">
      <c r="A97" t="inlineStr">
        <is>
          <t>Total for 122</t>
        </is>
      </c>
      <c r="I97" s="2">
        <f>I95+I96</f>
        <v>3050.66</v>
      </c>
      <c r="J97" s="2">
        <f>J95+J96</f>
        <v>3050.66</v>
      </c>
    </row>
    <row r="98">
      <c r="A98" t="inlineStr">
        <is>
          <t>123</t>
        </is>
      </c>
    </row>
    <row r="99">
      <c r="B99" t="inlineStr">
        <is>
          <t>01/04/2026</t>
        </is>
      </c>
      <c r="C99" t="inlineStr">
        <is>
          <t>Credit Card Expense</t>
        </is>
      </c>
      <c r="D99" t="inlineStr">
        <is>
          <t/>
        </is>
      </c>
      <c r="E99" t="inlineStr">
        <is>
          <t>Payee 23</t>
        </is>
      </c>
      <c r="F99" t="inlineStr">
        <is>
          <t>Memo 23</t>
        </is>
      </c>
      <c r="G99" t="inlineStr">
        <is>
          <t/>
        </is>
      </c>
      <c r="H99" t="inlineStr">
        <is>
          <t>2005 Northbank Credit Card</t>
        </is>
      </c>
      <c r="J99" s="1" t="n">
        <v>3188.19</v>
      </c>
      <c r="K99" t="inlineStr">
        <is>
          <t/>
        </is>
      </c>
      <c r="L99" s="1" t="n">
        <v>3188.19000000001</v>
      </c>
      <c r="M99" t="inlineStr">
        <is>
          <t/>
        </is>
      </c>
      <c r="N99" t="inlineStr">
        <is>
          <t>Payee 23</t>
        </is>
      </c>
    </row>
    <row r="100">
      <c r="B100" t="inlineStr">
        <is>
          <t>01/04/2026</t>
        </is>
      </c>
      <c r="C100" t="inlineStr">
        <is>
          <t>Credit Card Expense</t>
        </is>
      </c>
      <c r="D100" t="inlineStr">
        <is>
          <t/>
        </is>
      </c>
      <c r="E100" t="inlineStr">
        <is>
          <t>Payee 23</t>
        </is>
      </c>
      <c r="F100" t="inlineStr">
        <is>
          <t>Memo 23</t>
        </is>
      </c>
      <c r="G100" t="inlineStr">
        <is>
          <t>6600</t>
        </is>
      </c>
      <c r="H100" t="inlineStr">
        <is>
          <t>6600 Facilities &amp; Ops:6620 Software and Cloud Services</t>
        </is>
      </c>
      <c r="I100" s="1" t="n">
        <v>3188.19</v>
      </c>
      <c r="K100" t="inlineStr">
        <is>
          <t/>
        </is>
      </c>
      <c r="L100" s="1" t="n">
        <v>6376.38</v>
      </c>
      <c r="M100" t="inlineStr">
        <is>
          <t/>
        </is>
      </c>
      <c r="N100" t="inlineStr">
        <is>
          <t>Payee 23</t>
        </is>
      </c>
    </row>
    <row r="101">
      <c r="A101" t="inlineStr">
        <is>
          <t>Total for 123</t>
        </is>
      </c>
      <c r="I101" s="2">
        <f>I99+I100</f>
        <v>3188.19</v>
      </c>
      <c r="J101" s="2">
        <f>J99+J100</f>
        <v>3188.19</v>
      </c>
    </row>
    <row r="102">
      <c r="A102" t="inlineStr">
        <is>
          <t>124</t>
        </is>
      </c>
    </row>
    <row r="103">
      <c r="B103" t="inlineStr">
        <is>
          <t>01/05/2026</t>
        </is>
      </c>
      <c r="C103" t="inlineStr">
        <is>
          <t>Bill</t>
        </is>
      </c>
      <c r="D103" t="inlineStr">
        <is>
          <t/>
        </is>
      </c>
      <c r="E103" t="inlineStr">
        <is>
          <t>Payee 24</t>
        </is>
      </c>
      <c r="F103" t="inlineStr">
        <is>
          <t>Memo 24</t>
        </is>
      </c>
      <c r="G103" t="inlineStr">
        <is>
          <t/>
        </is>
      </c>
      <c r="H103" t="inlineStr">
        <is>
          <t>2000 Accounts Payable</t>
        </is>
      </c>
      <c r="J103" s="1" t="n">
        <v>3325.72</v>
      </c>
      <c r="K103" t="inlineStr">
        <is>
          <t/>
        </is>
      </c>
      <c r="L103" s="1" t="n">
        <v>3325.72000000001</v>
      </c>
      <c r="M103" t="inlineStr">
        <is>
          <t/>
        </is>
      </c>
      <c r="N103" t="inlineStr">
        <is>
          <t>Payee 24</t>
        </is>
      </c>
    </row>
    <row r="104">
      <c r="B104" t="inlineStr">
        <is>
          <t>01/05/2026</t>
        </is>
      </c>
      <c r="C104" t="inlineStr">
        <is>
          <t>Bill</t>
        </is>
      </c>
      <c r="D104" t="inlineStr">
        <is>
          <t/>
        </is>
      </c>
      <c r="E104" t="inlineStr">
        <is>
          <t>Payee 24</t>
        </is>
      </c>
      <c r="F104" t="inlineStr">
        <is>
          <t>Memo 24</t>
        </is>
      </c>
      <c r="G104" t="inlineStr">
        <is>
          <t>6300</t>
        </is>
      </c>
      <c r="H104" t="inlineStr">
        <is>
          <t>6300 Professional Fees:6310 Legal Fees</t>
        </is>
      </c>
      <c r="I104" s="1" t="n">
        <v>3325.72</v>
      </c>
      <c r="K104" t="inlineStr">
        <is>
          <t/>
        </is>
      </c>
      <c r="L104" s="1" t="n">
        <v>6651.44</v>
      </c>
      <c r="M104" t="inlineStr">
        <is>
          <t/>
        </is>
      </c>
      <c r="N104" t="inlineStr">
        <is>
          <t>Payee 24</t>
        </is>
      </c>
    </row>
    <row r="105">
      <c r="A105" t="inlineStr">
        <is>
          <t>Total for 124</t>
        </is>
      </c>
      <c r="I105" s="2">
        <f>I103+I104</f>
        <v>3325.72</v>
      </c>
      <c r="J105" s="2">
        <f>J103+J104</f>
        <v>3325.72</v>
      </c>
    </row>
    <row r="106">
      <c r="A106" t="inlineStr">
        <is>
          <t>125</t>
        </is>
      </c>
    </row>
    <row r="107">
      <c r="B107" t="inlineStr">
        <is>
          <t>01/06/2026</t>
        </is>
      </c>
      <c r="C107" t="inlineStr">
        <is>
          <t>Deposit</t>
        </is>
      </c>
      <c r="D107" t="inlineStr">
        <is>
          <t/>
        </is>
      </c>
      <c r="E107" t="inlineStr">
        <is>
          <t>Payee 25</t>
        </is>
      </c>
      <c r="F107" t="inlineStr">
        <is>
          <t>Memo 25</t>
        </is>
      </c>
      <c r="G107" t="inlineStr">
        <is>
          <t/>
        </is>
      </c>
      <c r="H107" t="inlineStr">
        <is>
          <t>Riverbank BUSINESS CHECKING (0002)</t>
        </is>
      </c>
      <c r="I107" s="1" t="n">
        <v>3463.25</v>
      </c>
      <c r="K107" t="inlineStr">
        <is>
          <t/>
        </is>
      </c>
      <c r="L107" s="1" t="n">
        <v>3463.25000000001</v>
      </c>
      <c r="M107" t="inlineStr">
        <is>
          <t>Payee 25</t>
        </is>
      </c>
      <c r="N107" t="inlineStr">
        <is>
          <t/>
        </is>
      </c>
    </row>
    <row r="108">
      <c r="B108" t="inlineStr">
        <is>
          <t>01/06/2026</t>
        </is>
      </c>
      <c r="C108" t="inlineStr">
        <is>
          <t>Deposit</t>
        </is>
      </c>
      <c r="D108" t="inlineStr">
        <is>
          <t/>
        </is>
      </c>
      <c r="E108" t="inlineStr">
        <is>
          <t>Payee 25</t>
        </is>
      </c>
      <c r="F108" t="inlineStr">
        <is>
          <t>Memo 25</t>
        </is>
      </c>
      <c r="G108" t="inlineStr">
        <is>
          <t>3000</t>
        </is>
      </c>
      <c r="H108" t="inlineStr">
        <is>
          <t>3000 Member Equity</t>
        </is>
      </c>
      <c r="J108" s="1" t="n">
        <v>3463.25</v>
      </c>
      <c r="K108" t="inlineStr">
        <is>
          <t/>
        </is>
      </c>
      <c r="L108" s="1" t="n">
        <v>6926.5</v>
      </c>
      <c r="M108" t="inlineStr">
        <is>
          <t>Payee 25</t>
        </is>
      </c>
      <c r="N108" t="inlineStr">
        <is>
          <t/>
        </is>
      </c>
    </row>
    <row r="109">
      <c r="A109" t="inlineStr">
        <is>
          <t>Total for 125</t>
        </is>
      </c>
      <c r="I109" s="2">
        <f>I107+I108</f>
        <v>3463.25</v>
      </c>
      <c r="J109" s="2">
        <f>J107+J108</f>
        <v>3463.25</v>
      </c>
    </row>
    <row r="110">
      <c r="A110" t="inlineStr">
        <is>
          <t>126</t>
        </is>
      </c>
    </row>
    <row r="111">
      <c r="B111" t="inlineStr">
        <is>
          <t>01/07/2026</t>
        </is>
      </c>
      <c r="C111" t="inlineStr">
        <is>
          <t>Expense</t>
        </is>
      </c>
      <c r="D111" t="inlineStr">
        <is>
          <t/>
        </is>
      </c>
      <c r="E111" t="inlineStr">
        <is>
          <t>Payee 26</t>
        </is>
      </c>
      <c r="F111" t="inlineStr">
        <is>
          <t>Memo 26</t>
        </is>
      </c>
      <c r="G111" t="inlineStr">
        <is>
          <t/>
        </is>
      </c>
      <c r="H111" t="inlineStr">
        <is>
          <t>2005 Northbank Credit Card</t>
        </is>
      </c>
      <c r="J111" s="1" t="n">
        <v>3600.78</v>
      </c>
      <c r="K111" t="inlineStr">
        <is>
          <t/>
        </is>
      </c>
      <c r="L111" s="1" t="n">
        <v>3600.78000000001</v>
      </c>
      <c r="M111" t="inlineStr">
        <is>
          <t/>
        </is>
      </c>
      <c r="N111" t="inlineStr">
        <is>
          <t>Payee 26</t>
        </is>
      </c>
    </row>
    <row r="112">
      <c r="B112" t="inlineStr">
        <is>
          <t>01/07/2026</t>
        </is>
      </c>
      <c r="C112" t="inlineStr">
        <is>
          <t>Expense</t>
        </is>
      </c>
      <c r="D112" t="inlineStr">
        <is>
          <t/>
        </is>
      </c>
      <c r="E112" t="inlineStr">
        <is>
          <t>Payee 26</t>
        </is>
      </c>
      <c r="F112" t="inlineStr">
        <is>
          <t>Memo 26</t>
        </is>
      </c>
      <c r="G112" t="inlineStr">
        <is>
          <t>6100</t>
        </is>
      </c>
      <c r="H112" t="inlineStr">
        <is>
          <t>6100 G&amp;A:6130 Bank Service Charges</t>
        </is>
      </c>
      <c r="I112" s="1" t="n">
        <v>3600.78</v>
      </c>
      <c r="K112" t="inlineStr">
        <is>
          <t/>
        </is>
      </c>
      <c r="L112" s="1" t="n">
        <v>7201.56</v>
      </c>
      <c r="M112" t="inlineStr">
        <is>
          <t/>
        </is>
      </c>
      <c r="N112" t="inlineStr">
        <is>
          <t>Payee 26</t>
        </is>
      </c>
    </row>
    <row r="113">
      <c r="A113" t="inlineStr">
        <is>
          <t>Total for 126</t>
        </is>
      </c>
      <c r="I113" s="2">
        <f>I111+I112</f>
        <v>3600.78</v>
      </c>
      <c r="J113" s="2">
        <f>J111+J112</f>
        <v>3600.78</v>
      </c>
    </row>
    <row r="114">
      <c r="A114" t="inlineStr">
        <is>
          <t>127</t>
        </is>
      </c>
    </row>
    <row r="115">
      <c r="B115" t="inlineStr">
        <is>
          <t>01/08/2026</t>
        </is>
      </c>
      <c r="C115" t="inlineStr">
        <is>
          <t>Transfer</t>
        </is>
      </c>
      <c r="D115" t="inlineStr">
        <is>
          <t/>
        </is>
      </c>
      <c r="E115" t="inlineStr">
        <is>
          <t>Payee 27</t>
        </is>
      </c>
      <c r="F115" t="inlineStr">
        <is>
          <t>Memo 27</t>
        </is>
      </c>
      <c r="G115" t="inlineStr">
        <is>
          <t/>
        </is>
      </c>
      <c r="H115" t="inlineStr">
        <is>
          <t>Riverbank BUSINESS CHECKING (0002)</t>
        </is>
      </c>
      <c r="J115" s="1" t="n">
        <v>3738.31</v>
      </c>
      <c r="K115" t="inlineStr">
        <is>
          <t/>
        </is>
      </c>
      <c r="L115" s="1" t="n">
        <v>3738.31000000001</v>
      </c>
      <c r="M115" t="inlineStr">
        <is>
          <t/>
        </is>
      </c>
      <c r="N115" t="inlineStr">
        <is>
          <t>Payee 27</t>
        </is>
      </c>
    </row>
    <row r="116">
      <c r="B116" t="inlineStr">
        <is>
          <t>01/08/2026</t>
        </is>
      </c>
      <c r="C116" t="inlineStr">
        <is>
          <t>Transfer</t>
        </is>
      </c>
      <c r="D116" t="inlineStr">
        <is>
          <t/>
        </is>
      </c>
      <c r="E116" t="inlineStr">
        <is>
          <t>Payee 27</t>
        </is>
      </c>
      <c r="F116" t="inlineStr">
        <is>
          <t>Memo 27</t>
        </is>
      </c>
      <c r="G116" t="inlineStr">
        <is>
          <t>2005</t>
        </is>
      </c>
      <c r="H116" t="inlineStr">
        <is>
          <t>2005 Northbank Credit Card</t>
        </is>
      </c>
      <c r="I116" s="1" t="n">
        <v>3738.31</v>
      </c>
      <c r="K116" t="inlineStr">
        <is>
          <t/>
        </is>
      </c>
      <c r="L116" s="1" t="n">
        <v>7476.62</v>
      </c>
      <c r="M116" t="inlineStr">
        <is>
          <t/>
        </is>
      </c>
      <c r="N116" t="inlineStr">
        <is>
          <t>Payee 27</t>
        </is>
      </c>
    </row>
    <row r="117">
      <c r="A117" t="inlineStr">
        <is>
          <t>Total for 127</t>
        </is>
      </c>
      <c r="I117" s="2">
        <f>I115+I116</f>
        <v>3738.31</v>
      </c>
      <c r="J117" s="2">
        <f>J115+J116</f>
        <v>3738.31</v>
      </c>
    </row>
    <row r="118">
      <c r="A118" t="inlineStr">
        <is>
          <t>128</t>
        </is>
      </c>
    </row>
    <row r="119">
      <c r="B119" t="inlineStr">
        <is>
          <t>01/09/2026</t>
        </is>
      </c>
      <c r="C119" t="inlineStr">
        <is>
          <t>Credit Card Expense</t>
        </is>
      </c>
      <c r="D119" t="inlineStr">
        <is>
          <t/>
        </is>
      </c>
      <c r="E119" t="inlineStr">
        <is>
          <t>Payee 28</t>
        </is>
      </c>
      <c r="F119" t="inlineStr">
        <is>
          <t>Memo 28</t>
        </is>
      </c>
      <c r="G119" t="inlineStr">
        <is>
          <t/>
        </is>
      </c>
      <c r="H119" t="inlineStr">
        <is>
          <t>2005 Northbank Credit Card</t>
        </is>
      </c>
      <c r="J119" s="1" t="n">
        <v>3875.84</v>
      </c>
      <c r="K119" t="inlineStr">
        <is>
          <t/>
        </is>
      </c>
      <c r="L119" s="1" t="n">
        <v>3875.84000000001</v>
      </c>
      <c r="M119" t="inlineStr">
        <is>
          <t/>
        </is>
      </c>
      <c r="N119" t="inlineStr">
        <is>
          <t>Payee 28</t>
        </is>
      </c>
    </row>
    <row r="120">
      <c r="B120" t="inlineStr">
        <is>
          <t>01/09/2026</t>
        </is>
      </c>
      <c r="C120" t="inlineStr">
        <is>
          <t>Credit Card Expense</t>
        </is>
      </c>
      <c r="D120" t="inlineStr">
        <is>
          <t/>
        </is>
      </c>
      <c r="E120" t="inlineStr">
        <is>
          <t>Payee 28</t>
        </is>
      </c>
      <c r="F120" t="inlineStr">
        <is>
          <t>Memo 28</t>
        </is>
      </c>
      <c r="G120" t="inlineStr">
        <is>
          <t>6600</t>
        </is>
      </c>
      <c r="H120" t="inlineStr">
        <is>
          <t>6600 Facilities &amp; Ops:6620 Software and Cloud Services</t>
        </is>
      </c>
      <c r="I120" s="1" t="n">
        <v>3875.84</v>
      </c>
      <c r="K120" t="inlineStr">
        <is>
          <t/>
        </is>
      </c>
      <c r="L120" s="1" t="n">
        <v>7751.68</v>
      </c>
      <c r="M120" t="inlineStr">
        <is>
          <t/>
        </is>
      </c>
      <c r="N120" t="inlineStr">
        <is>
          <t>Payee 28</t>
        </is>
      </c>
    </row>
    <row r="121">
      <c r="A121" t="inlineStr">
        <is>
          <t>Total for 128</t>
        </is>
      </c>
      <c r="I121" s="2">
        <f>I119+I120</f>
        <v>3875.84</v>
      </c>
      <c r="J121" s="2">
        <f>J119+J120</f>
        <v>3875.84</v>
      </c>
    </row>
    <row r="122">
      <c r="A122" t="inlineStr">
        <is>
          <t>129</t>
        </is>
      </c>
    </row>
    <row r="123">
      <c r="B123" t="inlineStr">
        <is>
          <t>01/10/2026</t>
        </is>
      </c>
      <c r="C123" t="inlineStr">
        <is>
          <t>Bill</t>
        </is>
      </c>
      <c r="D123" t="inlineStr">
        <is>
          <t/>
        </is>
      </c>
      <c r="E123" t="inlineStr">
        <is>
          <t>Payee 29</t>
        </is>
      </c>
      <c r="F123" t="inlineStr">
        <is>
          <t>Memo 29</t>
        </is>
      </c>
      <c r="G123" t="inlineStr">
        <is>
          <t/>
        </is>
      </c>
      <c r="H123" t="inlineStr">
        <is>
          <t>2000 Accounts Payable</t>
        </is>
      </c>
      <c r="J123" s="1" t="n">
        <v>4013.37</v>
      </c>
      <c r="K123" t="inlineStr">
        <is>
          <t/>
        </is>
      </c>
      <c r="L123" s="1" t="n">
        <v>4013.37000000001</v>
      </c>
      <c r="M123" t="inlineStr">
        <is>
          <t/>
        </is>
      </c>
      <c r="N123" t="inlineStr">
        <is>
          <t>Payee 29</t>
        </is>
      </c>
    </row>
    <row r="124">
      <c r="B124" t="inlineStr">
        <is>
          <t>01/10/2026</t>
        </is>
      </c>
      <c r="C124" t="inlineStr">
        <is>
          <t>Bill</t>
        </is>
      </c>
      <c r="D124" t="inlineStr">
        <is>
          <t/>
        </is>
      </c>
      <c r="E124" t="inlineStr">
        <is>
          <t>Payee 29</t>
        </is>
      </c>
      <c r="F124" t="inlineStr">
        <is>
          <t>Memo 29</t>
        </is>
      </c>
      <c r="G124" t="inlineStr">
        <is>
          <t>6300</t>
        </is>
      </c>
      <c r="H124" t="inlineStr">
        <is>
          <t>6300 Professional Fees:6310 Legal Fees</t>
        </is>
      </c>
      <c r="I124" s="1" t="n">
        <v>4013.37</v>
      </c>
      <c r="K124" t="inlineStr">
        <is>
          <t/>
        </is>
      </c>
      <c r="L124" s="1" t="n">
        <v>8026.74</v>
      </c>
      <c r="M124" t="inlineStr">
        <is>
          <t/>
        </is>
      </c>
      <c r="N124" t="inlineStr">
        <is>
          <t>Payee 29</t>
        </is>
      </c>
    </row>
    <row r="125">
      <c r="A125" t="inlineStr">
        <is>
          <t>Total for 129</t>
        </is>
      </c>
      <c r="I125" s="2">
        <f>I123+I124</f>
        <v>4013.37</v>
      </c>
      <c r="J125" s="2">
        <f>J123+J124</f>
        <v>4013.37</v>
      </c>
    </row>
    <row r="126">
      <c r="A126" t="inlineStr">
        <is>
          <t>130</t>
        </is>
      </c>
    </row>
    <row r="127">
      <c r="B127" t="inlineStr">
        <is>
          <t>01/11/2026</t>
        </is>
      </c>
      <c r="C127" t="inlineStr">
        <is>
          <t>Deposit</t>
        </is>
      </c>
      <c r="D127" t="inlineStr">
        <is>
          <t/>
        </is>
      </c>
      <c r="E127" t="inlineStr">
        <is>
          <t>Payee 30</t>
        </is>
      </c>
      <c r="F127" t="inlineStr">
        <is>
          <t>Memo 30</t>
        </is>
      </c>
      <c r="G127" t="inlineStr">
        <is>
          <t/>
        </is>
      </c>
      <c r="H127" t="inlineStr">
        <is>
          <t>Riverbank BUSINESS CHECKING (0002)</t>
        </is>
      </c>
      <c r="I127" s="1" t="n">
        <v>4150.9</v>
      </c>
      <c r="K127" t="inlineStr">
        <is>
          <t/>
        </is>
      </c>
      <c r="L127" s="1" t="n">
        <v>4150.90000000001</v>
      </c>
      <c r="M127" t="inlineStr">
        <is>
          <t>Payee 30</t>
        </is>
      </c>
      <c r="N127" t="inlineStr">
        <is>
          <t/>
        </is>
      </c>
    </row>
    <row r="128">
      <c r="B128" t="inlineStr">
        <is>
          <t>01/11/2026</t>
        </is>
      </c>
      <c r="C128" t="inlineStr">
        <is>
          <t>Deposit</t>
        </is>
      </c>
      <c r="D128" t="inlineStr">
        <is>
          <t/>
        </is>
      </c>
      <c r="E128" t="inlineStr">
        <is>
          <t>Payee 30</t>
        </is>
      </c>
      <c r="F128" t="inlineStr">
        <is>
          <t>Memo 30</t>
        </is>
      </c>
      <c r="G128" t="inlineStr">
        <is>
          <t>3000</t>
        </is>
      </c>
      <c r="H128" t="inlineStr">
        <is>
          <t>3000 Member Equity</t>
        </is>
      </c>
      <c r="J128" s="1" t="n">
        <v>4150.9</v>
      </c>
      <c r="K128" t="inlineStr">
        <is>
          <t/>
        </is>
      </c>
      <c r="L128" s="1" t="n">
        <v>8301.799999999999</v>
      </c>
      <c r="M128" t="inlineStr">
        <is>
          <t>Payee 30</t>
        </is>
      </c>
      <c r="N128" t="inlineStr">
        <is>
          <t/>
        </is>
      </c>
    </row>
    <row r="129">
      <c r="A129" t="inlineStr">
        <is>
          <t>Total for 130</t>
        </is>
      </c>
      <c r="I129" s="2">
        <f>I127+I128</f>
        <v>4150.9</v>
      </c>
      <c r="J129" s="2">
        <f>J127+J128</f>
        <v>4150.9</v>
      </c>
    </row>
    <row r="130">
      <c r="A130" t="inlineStr">
        <is>
          <t>131</t>
        </is>
      </c>
    </row>
    <row r="131">
      <c r="B131" t="inlineStr">
        <is>
          <t>01/12/2026</t>
        </is>
      </c>
      <c r="C131" t="inlineStr">
        <is>
          <t>Expense</t>
        </is>
      </c>
      <c r="D131" t="inlineStr">
        <is>
          <t/>
        </is>
      </c>
      <c r="E131" t="inlineStr">
        <is>
          <t>Payee 31</t>
        </is>
      </c>
      <c r="F131" t="inlineStr">
        <is>
          <t>Memo 31</t>
        </is>
      </c>
      <c r="G131" t="inlineStr">
        <is>
          <t/>
        </is>
      </c>
      <c r="H131" t="inlineStr">
        <is>
          <t>2005 Northbank Credit Card</t>
        </is>
      </c>
      <c r="J131" s="1" t="n">
        <v>4288.43</v>
      </c>
      <c r="K131" t="inlineStr">
        <is>
          <t/>
        </is>
      </c>
      <c r="L131" s="1" t="n">
        <v>4288.43000000001</v>
      </c>
      <c r="M131" t="inlineStr">
        <is>
          <t/>
        </is>
      </c>
      <c r="N131" t="inlineStr">
        <is>
          <t>Payee 31</t>
        </is>
      </c>
    </row>
    <row r="132">
      <c r="B132" t="inlineStr">
        <is>
          <t>01/12/2026</t>
        </is>
      </c>
      <c r="C132" t="inlineStr">
        <is>
          <t>Expense</t>
        </is>
      </c>
      <c r="D132" t="inlineStr">
        <is>
          <t/>
        </is>
      </c>
      <c r="E132" t="inlineStr">
        <is>
          <t>Payee 31</t>
        </is>
      </c>
      <c r="F132" t="inlineStr">
        <is>
          <t>Memo 31</t>
        </is>
      </c>
      <c r="G132" t="inlineStr">
        <is>
          <t>6100</t>
        </is>
      </c>
      <c r="H132" t="inlineStr">
        <is>
          <t>6100 G&amp;A:6130 Bank Service Charges</t>
        </is>
      </c>
      <c r="I132" s="1" t="n">
        <v>4288.43</v>
      </c>
      <c r="K132" t="inlineStr">
        <is>
          <t/>
        </is>
      </c>
      <c r="L132" s="1" t="n">
        <v>8576.860000000001</v>
      </c>
      <c r="M132" t="inlineStr">
        <is>
          <t/>
        </is>
      </c>
      <c r="N132" t="inlineStr">
        <is>
          <t>Payee 31</t>
        </is>
      </c>
    </row>
    <row r="133">
      <c r="A133" t="inlineStr">
        <is>
          <t>Total for 131</t>
        </is>
      </c>
      <c r="I133" s="2">
        <f>I131+I132</f>
        <v>4288.43</v>
      </c>
      <c r="J133" s="2">
        <f>J131+J132</f>
        <v>4288.43</v>
      </c>
    </row>
    <row r="134">
      <c r="A134" t="inlineStr">
        <is>
          <t>132</t>
        </is>
      </c>
    </row>
    <row r="135">
      <c r="B135" t="inlineStr">
        <is>
          <t>01/13/2026</t>
        </is>
      </c>
      <c r="C135" t="inlineStr">
        <is>
          <t>Transfer</t>
        </is>
      </c>
      <c r="D135" t="inlineStr">
        <is>
          <t/>
        </is>
      </c>
      <c r="E135" t="inlineStr">
        <is>
          <t>Payee 32</t>
        </is>
      </c>
      <c r="F135" t="inlineStr">
        <is>
          <t>Memo 32</t>
        </is>
      </c>
      <c r="G135" t="inlineStr">
        <is>
          <t/>
        </is>
      </c>
      <c r="H135" t="inlineStr">
        <is>
          <t>Riverbank BUSINESS CHECKING (0002)</t>
        </is>
      </c>
      <c r="J135" s="1" t="n">
        <v>4425.96</v>
      </c>
      <c r="K135" t="inlineStr">
        <is>
          <t/>
        </is>
      </c>
      <c r="L135" s="1" t="n">
        <v>4425.96000000001</v>
      </c>
      <c r="M135" t="inlineStr">
        <is>
          <t/>
        </is>
      </c>
      <c r="N135" t="inlineStr">
        <is>
          <t>Payee 32</t>
        </is>
      </c>
    </row>
    <row r="136">
      <c r="B136" t="inlineStr">
        <is>
          <t>01/13/2026</t>
        </is>
      </c>
      <c r="C136" t="inlineStr">
        <is>
          <t>Transfer</t>
        </is>
      </c>
      <c r="D136" t="inlineStr">
        <is>
          <t/>
        </is>
      </c>
      <c r="E136" t="inlineStr">
        <is>
          <t>Payee 32</t>
        </is>
      </c>
      <c r="F136" t="inlineStr">
        <is>
          <t>Memo 32</t>
        </is>
      </c>
      <c r="G136" t="inlineStr">
        <is>
          <t>2005</t>
        </is>
      </c>
      <c r="H136" t="inlineStr">
        <is>
          <t>2005 Northbank Credit Card</t>
        </is>
      </c>
      <c r="I136" s="1" t="n">
        <v>4425.96</v>
      </c>
      <c r="K136" t="inlineStr">
        <is>
          <t/>
        </is>
      </c>
      <c r="L136" s="1" t="n">
        <v>8851.92</v>
      </c>
      <c r="M136" t="inlineStr">
        <is>
          <t/>
        </is>
      </c>
      <c r="N136" t="inlineStr">
        <is>
          <t>Payee 32</t>
        </is>
      </c>
    </row>
    <row r="137">
      <c r="A137" t="inlineStr">
        <is>
          <t>Total for 132</t>
        </is>
      </c>
      <c r="I137" s="2">
        <f>I135+I136</f>
        <v>4425.96</v>
      </c>
      <c r="J137" s="2">
        <f>J135+J136</f>
        <v>4425.96</v>
      </c>
    </row>
    <row r="138">
      <c r="A138" t="inlineStr">
        <is>
          <t>133</t>
        </is>
      </c>
    </row>
    <row r="139">
      <c r="B139" t="inlineStr">
        <is>
          <t>01/14/2026</t>
        </is>
      </c>
      <c r="C139" t="inlineStr">
        <is>
          <t>Credit Card Expense</t>
        </is>
      </c>
      <c r="D139" t="inlineStr">
        <is>
          <t/>
        </is>
      </c>
      <c r="E139" t="inlineStr">
        <is>
          <t>Payee 33</t>
        </is>
      </c>
      <c r="F139" t="inlineStr">
        <is>
          <t>Memo 33</t>
        </is>
      </c>
      <c r="G139" t="inlineStr">
        <is>
          <t/>
        </is>
      </c>
      <c r="H139" t="inlineStr">
        <is>
          <t>2005 Northbank Credit Card</t>
        </is>
      </c>
      <c r="J139" s="1" t="n">
        <v>4563.49</v>
      </c>
      <c r="K139" t="inlineStr">
        <is>
          <t/>
        </is>
      </c>
      <c r="L139" s="1" t="n">
        <v>4563.49000000001</v>
      </c>
      <c r="M139" t="inlineStr">
        <is>
          <t/>
        </is>
      </c>
      <c r="N139" t="inlineStr">
        <is>
          <t>Payee 33</t>
        </is>
      </c>
    </row>
    <row r="140">
      <c r="B140" t="inlineStr">
        <is>
          <t>01/14/2026</t>
        </is>
      </c>
      <c r="C140" t="inlineStr">
        <is>
          <t>Credit Card Expense</t>
        </is>
      </c>
      <c r="D140" t="inlineStr">
        <is>
          <t/>
        </is>
      </c>
      <c r="E140" t="inlineStr">
        <is>
          <t>Payee 33</t>
        </is>
      </c>
      <c r="F140" t="inlineStr">
        <is>
          <t>Memo 33</t>
        </is>
      </c>
      <c r="G140" t="inlineStr">
        <is>
          <t>6600</t>
        </is>
      </c>
      <c r="H140" t="inlineStr">
        <is>
          <t>6600 Facilities &amp; Ops:6620 Software and Cloud Services</t>
        </is>
      </c>
      <c r="I140" s="1" t="n">
        <v>4563.49</v>
      </c>
      <c r="K140" t="inlineStr">
        <is>
          <t/>
        </is>
      </c>
      <c r="L140" s="1" t="n">
        <v>9126.98</v>
      </c>
      <c r="M140" t="inlineStr">
        <is>
          <t/>
        </is>
      </c>
      <c r="N140" t="inlineStr">
        <is>
          <t>Payee 33</t>
        </is>
      </c>
    </row>
    <row r="141">
      <c r="A141" t="inlineStr">
        <is>
          <t>Total for 133</t>
        </is>
      </c>
      <c r="I141" s="2">
        <f>I139+I140</f>
        <v>4563.49</v>
      </c>
      <c r="J141" s="2">
        <f>J139+J140</f>
        <v>4563.49</v>
      </c>
    </row>
    <row r="142">
      <c r="A142" t="inlineStr">
        <is>
          <t>134</t>
        </is>
      </c>
    </row>
    <row r="143">
      <c r="B143" t="inlineStr">
        <is>
          <t>01/15/2026</t>
        </is>
      </c>
      <c r="C143" t="inlineStr">
        <is>
          <t>Bill</t>
        </is>
      </c>
      <c r="D143" t="inlineStr">
        <is>
          <t/>
        </is>
      </c>
      <c r="E143" t="inlineStr">
        <is>
          <t>Payee 34</t>
        </is>
      </c>
      <c r="F143" t="inlineStr">
        <is>
          <t>Memo 34</t>
        </is>
      </c>
      <c r="G143" t="inlineStr">
        <is>
          <t/>
        </is>
      </c>
      <c r="H143" t="inlineStr">
        <is>
          <t>2000 Accounts Payable</t>
        </is>
      </c>
      <c r="J143" s="1" t="n">
        <v>4701.02</v>
      </c>
      <c r="K143" t="inlineStr">
        <is>
          <t/>
        </is>
      </c>
      <c r="L143" s="1" t="n">
        <v>4701.02000000001</v>
      </c>
      <c r="M143" t="inlineStr">
        <is>
          <t/>
        </is>
      </c>
      <c r="N143" t="inlineStr">
        <is>
          <t>Payee 34</t>
        </is>
      </c>
    </row>
    <row r="144">
      <c r="B144" t="inlineStr">
        <is>
          <t>01/15/2026</t>
        </is>
      </c>
      <c r="C144" t="inlineStr">
        <is>
          <t>Bill</t>
        </is>
      </c>
      <c r="D144" t="inlineStr">
        <is>
          <t/>
        </is>
      </c>
      <c r="E144" t="inlineStr">
        <is>
          <t>Payee 34</t>
        </is>
      </c>
      <c r="F144" t="inlineStr">
        <is>
          <t>Memo 34</t>
        </is>
      </c>
      <c r="G144" t="inlineStr">
        <is>
          <t>6300</t>
        </is>
      </c>
      <c r="H144" t="inlineStr">
        <is>
          <t>6300 Professional Fees:6310 Legal Fees</t>
        </is>
      </c>
      <c r="I144" s="1" t="n">
        <v>4701.02</v>
      </c>
      <c r="K144" t="inlineStr">
        <is>
          <t/>
        </is>
      </c>
      <c r="L144" s="1" t="n">
        <v>9402.040000000001</v>
      </c>
      <c r="M144" t="inlineStr">
        <is>
          <t/>
        </is>
      </c>
      <c r="N144" t="inlineStr">
        <is>
          <t>Payee 34</t>
        </is>
      </c>
    </row>
    <row r="145">
      <c r="A145" t="inlineStr">
        <is>
          <t>Total for 134</t>
        </is>
      </c>
      <c r="I145" s="2">
        <f>I143+I144</f>
        <v>4701.02</v>
      </c>
      <c r="J145" s="2">
        <f>J143+J144</f>
        <v>4701.02</v>
      </c>
    </row>
    <row r="146">
      <c r="A146" t="inlineStr">
        <is>
          <t>135</t>
        </is>
      </c>
    </row>
    <row r="147">
      <c r="B147" t="inlineStr">
        <is>
          <t>01/16/2026</t>
        </is>
      </c>
      <c r="C147" t="inlineStr">
        <is>
          <t>Deposit</t>
        </is>
      </c>
      <c r="D147" t="inlineStr">
        <is>
          <t/>
        </is>
      </c>
      <c r="E147" t="inlineStr">
        <is>
          <t>Payee 35</t>
        </is>
      </c>
      <c r="F147" t="inlineStr">
        <is>
          <t>Memo 35</t>
        </is>
      </c>
      <c r="G147" t="inlineStr">
        <is>
          <t/>
        </is>
      </c>
      <c r="H147" t="inlineStr">
        <is>
          <t>Riverbank BUSINESS CHECKING (0002)</t>
        </is>
      </c>
      <c r="I147" s="1" t="n">
        <v>4838.55</v>
      </c>
      <c r="K147" t="inlineStr">
        <is>
          <t/>
        </is>
      </c>
      <c r="L147" s="1" t="n">
        <v>4838.55000000001</v>
      </c>
      <c r="M147" t="inlineStr">
        <is>
          <t>Payee 35</t>
        </is>
      </c>
      <c r="N147" t="inlineStr">
        <is>
          <t/>
        </is>
      </c>
    </row>
    <row r="148">
      <c r="B148" t="inlineStr">
        <is>
          <t>01/16/2026</t>
        </is>
      </c>
      <c r="C148" t="inlineStr">
        <is>
          <t>Deposit</t>
        </is>
      </c>
      <c r="D148" t="inlineStr">
        <is>
          <t/>
        </is>
      </c>
      <c r="E148" t="inlineStr">
        <is>
          <t>Payee 35</t>
        </is>
      </c>
      <c r="F148" t="inlineStr">
        <is>
          <t>Memo 35</t>
        </is>
      </c>
      <c r="G148" t="inlineStr">
        <is>
          <t>3000</t>
        </is>
      </c>
      <c r="H148" t="inlineStr">
        <is>
          <t>3000 Member Equity</t>
        </is>
      </c>
      <c r="J148" s="1" t="n">
        <v>4838.55</v>
      </c>
      <c r="K148" t="inlineStr">
        <is>
          <t/>
        </is>
      </c>
      <c r="L148" s="1" t="n">
        <v>9677.1</v>
      </c>
      <c r="M148" t="inlineStr">
        <is>
          <t>Payee 35</t>
        </is>
      </c>
      <c r="N148" t="inlineStr">
        <is>
          <t/>
        </is>
      </c>
    </row>
    <row r="149">
      <c r="A149" t="inlineStr">
        <is>
          <t>Total for 135</t>
        </is>
      </c>
      <c r="I149" s="2">
        <f>I147+I148</f>
        <v>4838.55</v>
      </c>
      <c r="J149" s="2">
        <f>J147+J148</f>
        <v>4838.55</v>
      </c>
    </row>
    <row r="150">
      <c r="A150" t="inlineStr">
        <is>
          <t>136</t>
        </is>
      </c>
    </row>
    <row r="151">
      <c r="B151" t="inlineStr">
        <is>
          <t>01/17/2026</t>
        </is>
      </c>
      <c r="C151" t="inlineStr">
        <is>
          <t>Expense</t>
        </is>
      </c>
      <c r="D151" t="inlineStr">
        <is>
          <t/>
        </is>
      </c>
      <c r="E151" t="inlineStr">
        <is>
          <t>Payee 36</t>
        </is>
      </c>
      <c r="F151" t="inlineStr">
        <is>
          <t>Memo 36</t>
        </is>
      </c>
      <c r="G151" t="inlineStr">
        <is>
          <t/>
        </is>
      </c>
      <c r="H151" t="inlineStr">
        <is>
          <t>2005 Northbank Credit Card</t>
        </is>
      </c>
      <c r="J151" s="1" t="n">
        <v>4976.08</v>
      </c>
      <c r="K151" t="inlineStr">
        <is>
          <t/>
        </is>
      </c>
      <c r="L151" s="1" t="n">
        <v>4976.08000000001</v>
      </c>
      <c r="M151" t="inlineStr">
        <is>
          <t/>
        </is>
      </c>
      <c r="N151" t="inlineStr">
        <is>
          <t>Payee 36</t>
        </is>
      </c>
    </row>
    <row r="152">
      <c r="B152" t="inlineStr">
        <is>
          <t>01/17/2026</t>
        </is>
      </c>
      <c r="C152" t="inlineStr">
        <is>
          <t>Expense</t>
        </is>
      </c>
      <c r="D152" t="inlineStr">
        <is>
          <t/>
        </is>
      </c>
      <c r="E152" t="inlineStr">
        <is>
          <t>Payee 36</t>
        </is>
      </c>
      <c r="F152" t="inlineStr">
        <is>
          <t>Memo 36</t>
        </is>
      </c>
      <c r="G152" t="inlineStr">
        <is>
          <t>6100</t>
        </is>
      </c>
      <c r="H152" t="inlineStr">
        <is>
          <t>6100 G&amp;A:6130 Bank Service Charges</t>
        </is>
      </c>
      <c r="I152" s="1" t="n">
        <v>4976.08</v>
      </c>
      <c r="K152" t="inlineStr">
        <is>
          <t/>
        </is>
      </c>
      <c r="L152" s="1" t="n">
        <v>9952.16</v>
      </c>
      <c r="M152" t="inlineStr">
        <is>
          <t/>
        </is>
      </c>
      <c r="N152" t="inlineStr">
        <is>
          <t>Payee 36</t>
        </is>
      </c>
    </row>
    <row r="153">
      <c r="A153" t="inlineStr">
        <is>
          <t>Total for 136</t>
        </is>
      </c>
      <c r="I153" s="2">
        <f>I151+I152</f>
        <v>4976.08</v>
      </c>
      <c r="J153" s="2">
        <f>J151+J152</f>
        <v>4976.08</v>
      </c>
    </row>
    <row r="154">
      <c r="A154" t="inlineStr">
        <is>
          <t>137</t>
        </is>
      </c>
    </row>
    <row r="155">
      <c r="B155" t="inlineStr">
        <is>
          <t>01/18/2026</t>
        </is>
      </c>
      <c r="C155" t="inlineStr">
        <is>
          <t>Transfer</t>
        </is>
      </c>
      <c r="D155" t="inlineStr">
        <is>
          <t/>
        </is>
      </c>
      <c r="E155" t="inlineStr">
        <is>
          <t>Payee 37</t>
        </is>
      </c>
      <c r="F155" t="inlineStr">
        <is>
          <t>Memo 37</t>
        </is>
      </c>
      <c r="G155" t="inlineStr">
        <is>
          <t/>
        </is>
      </c>
      <c r="H155" t="inlineStr">
        <is>
          <t>Riverbank BUSINESS CHECKING (0002)</t>
        </is>
      </c>
      <c r="J155" s="1" t="n">
        <v>5113.61</v>
      </c>
      <c r="K155" t="inlineStr">
        <is>
          <t/>
        </is>
      </c>
      <c r="L155" s="1" t="n">
        <v>5113.61000000001</v>
      </c>
      <c r="M155" t="inlineStr">
        <is>
          <t/>
        </is>
      </c>
      <c r="N155" t="inlineStr">
        <is>
          <t>Payee 37</t>
        </is>
      </c>
    </row>
    <row r="156">
      <c r="B156" t="inlineStr">
        <is>
          <t>01/18/2026</t>
        </is>
      </c>
      <c r="C156" t="inlineStr">
        <is>
          <t>Transfer</t>
        </is>
      </c>
      <c r="D156" t="inlineStr">
        <is>
          <t/>
        </is>
      </c>
      <c r="E156" t="inlineStr">
        <is>
          <t>Payee 37</t>
        </is>
      </c>
      <c r="F156" t="inlineStr">
        <is>
          <t>Memo 37</t>
        </is>
      </c>
      <c r="G156" t="inlineStr">
        <is>
          <t>2005</t>
        </is>
      </c>
      <c r="H156" t="inlineStr">
        <is>
          <t>2005 Northbank Credit Card</t>
        </is>
      </c>
      <c r="I156" s="1" t="n">
        <v>5113.61</v>
      </c>
      <c r="K156" t="inlineStr">
        <is>
          <t/>
        </is>
      </c>
      <c r="L156" s="1" t="n">
        <v>10227.22</v>
      </c>
      <c r="M156" t="inlineStr">
        <is>
          <t/>
        </is>
      </c>
      <c r="N156" t="inlineStr">
        <is>
          <t>Payee 37</t>
        </is>
      </c>
    </row>
    <row r="157">
      <c r="A157" t="inlineStr">
        <is>
          <t>Total for 137</t>
        </is>
      </c>
      <c r="I157" s="2">
        <f>I155+I156</f>
        <v>5113.61</v>
      </c>
      <c r="J157" s="2">
        <f>J155+J156</f>
        <v>5113.61</v>
      </c>
    </row>
    <row r="158">
      <c r="A158" t="inlineStr">
        <is>
          <t>138</t>
        </is>
      </c>
    </row>
    <row r="159">
      <c r="B159" t="inlineStr">
        <is>
          <t>01/19/2026</t>
        </is>
      </c>
      <c r="C159" t="inlineStr">
        <is>
          <t>Credit Card Expense</t>
        </is>
      </c>
      <c r="D159" t="inlineStr">
        <is>
          <t/>
        </is>
      </c>
      <c r="E159" t="inlineStr">
        <is>
          <t>Payee 38</t>
        </is>
      </c>
      <c r="F159" t="inlineStr">
        <is>
          <t>Memo 38</t>
        </is>
      </c>
      <c r="G159" t="inlineStr">
        <is>
          <t/>
        </is>
      </c>
      <c r="H159" t="inlineStr">
        <is>
          <t>2005 Northbank Credit Card</t>
        </is>
      </c>
      <c r="J159" s="1" t="n">
        <v>5251.14</v>
      </c>
      <c r="K159" t="inlineStr">
        <is>
          <t/>
        </is>
      </c>
      <c r="L159" s="1" t="n">
        <v>5251.14000000001</v>
      </c>
      <c r="M159" t="inlineStr">
        <is>
          <t/>
        </is>
      </c>
      <c r="N159" t="inlineStr">
        <is>
          <t>Payee 38</t>
        </is>
      </c>
    </row>
    <row r="160">
      <c r="B160" t="inlineStr">
        <is>
          <t>01/19/2026</t>
        </is>
      </c>
      <c r="C160" t="inlineStr">
        <is>
          <t>Credit Card Expense</t>
        </is>
      </c>
      <c r="D160" t="inlineStr">
        <is>
          <t/>
        </is>
      </c>
      <c r="E160" t="inlineStr">
        <is>
          <t>Payee 38</t>
        </is>
      </c>
      <c r="F160" t="inlineStr">
        <is>
          <t>Memo 38</t>
        </is>
      </c>
      <c r="G160" t="inlineStr">
        <is>
          <t>6600</t>
        </is>
      </c>
      <c r="H160" t="inlineStr">
        <is>
          <t>6600 Facilities &amp; Ops:6620 Software and Cloud Services</t>
        </is>
      </c>
      <c r="I160" s="1" t="n">
        <v>5251.14</v>
      </c>
      <c r="K160" t="inlineStr">
        <is>
          <t/>
        </is>
      </c>
      <c r="L160" s="1" t="n">
        <v>10502.28</v>
      </c>
      <c r="M160" t="inlineStr">
        <is>
          <t/>
        </is>
      </c>
      <c r="N160" t="inlineStr">
        <is>
          <t>Payee 38</t>
        </is>
      </c>
    </row>
    <row r="161">
      <c r="A161" t="inlineStr">
        <is>
          <t>Total for 138</t>
        </is>
      </c>
      <c r="I161" s="2">
        <f>I159+I160</f>
        <v>5251.14</v>
      </c>
      <c r="J161" s="2">
        <f>J159+J160</f>
        <v>5251.14</v>
      </c>
    </row>
    <row r="162">
      <c r="A162" t="inlineStr">
        <is>
          <t>139</t>
        </is>
      </c>
    </row>
    <row r="163">
      <c r="B163" t="inlineStr">
        <is>
          <t>01/20/2026</t>
        </is>
      </c>
      <c r="C163" t="inlineStr">
        <is>
          <t>Bill</t>
        </is>
      </c>
      <c r="D163" t="inlineStr">
        <is>
          <t/>
        </is>
      </c>
      <c r="E163" t="inlineStr">
        <is>
          <t>Payee 39</t>
        </is>
      </c>
      <c r="F163" t="inlineStr">
        <is>
          <t>Memo 39</t>
        </is>
      </c>
      <c r="G163" t="inlineStr">
        <is>
          <t/>
        </is>
      </c>
      <c r="H163" t="inlineStr">
        <is>
          <t>2000 Accounts Payable</t>
        </is>
      </c>
      <c r="J163" s="1" t="n">
        <v>5388.67</v>
      </c>
      <c r="K163" t="inlineStr">
        <is>
          <t/>
        </is>
      </c>
      <c r="L163" s="1" t="n">
        <v>5388.67000000001</v>
      </c>
      <c r="M163" t="inlineStr">
        <is>
          <t/>
        </is>
      </c>
      <c r="N163" t="inlineStr">
        <is>
          <t>Payee 39</t>
        </is>
      </c>
    </row>
    <row r="164">
      <c r="B164" t="inlineStr">
        <is>
          <t>01/20/2026</t>
        </is>
      </c>
      <c r="C164" t="inlineStr">
        <is>
          <t>Bill</t>
        </is>
      </c>
      <c r="D164" t="inlineStr">
        <is>
          <t/>
        </is>
      </c>
      <c r="E164" t="inlineStr">
        <is>
          <t>Payee 39</t>
        </is>
      </c>
      <c r="F164" t="inlineStr">
        <is>
          <t>Memo 39</t>
        </is>
      </c>
      <c r="G164" t="inlineStr">
        <is>
          <t>6300</t>
        </is>
      </c>
      <c r="H164" t="inlineStr">
        <is>
          <t>6300 Professional Fees:6310 Legal Fees</t>
        </is>
      </c>
      <c r="I164" s="1" t="n">
        <v>5388.67</v>
      </c>
      <c r="K164" t="inlineStr">
        <is>
          <t/>
        </is>
      </c>
      <c r="L164" s="1" t="n">
        <v>10777.34</v>
      </c>
      <c r="M164" t="inlineStr">
        <is>
          <t/>
        </is>
      </c>
      <c r="N164" t="inlineStr">
        <is>
          <t>Payee 39</t>
        </is>
      </c>
    </row>
    <row r="165">
      <c r="A165" t="inlineStr">
        <is>
          <t>Total for 139</t>
        </is>
      </c>
      <c r="I165" s="2">
        <f>I163+I164</f>
        <v>5388.67</v>
      </c>
      <c r="J165" s="2">
        <f>J163+J164</f>
        <v>5388.67</v>
      </c>
    </row>
    <row r="166">
      <c r="A166" t="inlineStr">
        <is>
          <t>140</t>
        </is>
      </c>
    </row>
    <row r="167">
      <c r="B167" t="inlineStr">
        <is>
          <t>01/01/2026</t>
        </is>
      </c>
      <c r="C167" t="inlineStr">
        <is>
          <t>Deposit</t>
        </is>
      </c>
      <c r="D167" t="inlineStr">
        <is>
          <t/>
        </is>
      </c>
      <c r="E167" t="inlineStr">
        <is>
          <t>Payee 40</t>
        </is>
      </c>
      <c r="F167" t="inlineStr">
        <is>
          <t>Memo 40</t>
        </is>
      </c>
      <c r="G167" t="inlineStr">
        <is>
          <t/>
        </is>
      </c>
      <c r="H167" t="inlineStr">
        <is>
          <t>Riverbank BUSINESS CHECKING (0002)</t>
        </is>
      </c>
      <c r="I167" s="1" t="n">
        <v>5526.2</v>
      </c>
      <c r="K167" t="inlineStr">
        <is>
          <t/>
        </is>
      </c>
      <c r="L167" s="1" t="n">
        <v>5526.20000000001</v>
      </c>
      <c r="M167" t="inlineStr">
        <is>
          <t>Payee 40</t>
        </is>
      </c>
      <c r="N167" t="inlineStr">
        <is>
          <t/>
        </is>
      </c>
    </row>
    <row r="168">
      <c r="B168" t="inlineStr">
        <is>
          <t>01/01/2026</t>
        </is>
      </c>
      <c r="C168" t="inlineStr">
        <is>
          <t>Deposit</t>
        </is>
      </c>
      <c r="D168" t="inlineStr">
        <is>
          <t/>
        </is>
      </c>
      <c r="E168" t="inlineStr">
        <is>
          <t>Payee 40</t>
        </is>
      </c>
      <c r="F168" t="inlineStr">
        <is>
          <t>Memo 40</t>
        </is>
      </c>
      <c r="G168" t="inlineStr">
        <is>
          <t>3000</t>
        </is>
      </c>
      <c r="H168" t="inlineStr">
        <is>
          <t>3000 Member Equity</t>
        </is>
      </c>
      <c r="J168" s="1" t="n">
        <v>5526.2</v>
      </c>
      <c r="K168" t="inlineStr">
        <is>
          <t/>
        </is>
      </c>
      <c r="L168" s="1" t="n">
        <v>11052.4</v>
      </c>
      <c r="M168" t="inlineStr">
        <is>
          <t>Payee 40</t>
        </is>
      </c>
      <c r="N168" t="inlineStr">
        <is>
          <t/>
        </is>
      </c>
    </row>
    <row r="169">
      <c r="A169" t="inlineStr">
        <is>
          <t>Total for 140</t>
        </is>
      </c>
      <c r="I169" s="2">
        <f>I167+I168</f>
        <v>5526.2</v>
      </c>
      <c r="J169" s="2">
        <f>J167+J168</f>
        <v>5526.2</v>
      </c>
    </row>
    <row r="170">
      <c r="A170" t="inlineStr">
        <is>
          <t>141</t>
        </is>
      </c>
    </row>
    <row r="171">
      <c r="B171" t="inlineStr">
        <is>
          <t>01/02/2026</t>
        </is>
      </c>
      <c r="C171" t="inlineStr">
        <is>
          <t>Expense</t>
        </is>
      </c>
      <c r="D171" t="inlineStr">
        <is>
          <t/>
        </is>
      </c>
      <c r="E171" t="inlineStr">
        <is>
          <t>Payee 41</t>
        </is>
      </c>
      <c r="F171" t="inlineStr">
        <is>
          <t>Memo 41</t>
        </is>
      </c>
      <c r="G171" t="inlineStr">
        <is>
          <t/>
        </is>
      </c>
      <c r="H171" t="inlineStr">
        <is>
          <t>2005 Northbank Credit Card</t>
        </is>
      </c>
      <c r="J171" s="1" t="n">
        <v>5663.73</v>
      </c>
      <c r="K171" t="inlineStr">
        <is>
          <t/>
        </is>
      </c>
      <c r="L171" s="1" t="n">
        <v>5663.73000000001</v>
      </c>
      <c r="M171" t="inlineStr">
        <is>
          <t/>
        </is>
      </c>
      <c r="N171" t="inlineStr">
        <is>
          <t>Payee 41</t>
        </is>
      </c>
    </row>
    <row r="172">
      <c r="B172" t="inlineStr">
        <is>
          <t>01/02/2026</t>
        </is>
      </c>
      <c r="C172" t="inlineStr">
        <is>
          <t>Expense</t>
        </is>
      </c>
      <c r="D172" t="inlineStr">
        <is>
          <t/>
        </is>
      </c>
      <c r="E172" t="inlineStr">
        <is>
          <t>Payee 41</t>
        </is>
      </c>
      <c r="F172" t="inlineStr">
        <is>
          <t>Memo 41</t>
        </is>
      </c>
      <c r="G172" t="inlineStr">
        <is>
          <t>6100</t>
        </is>
      </c>
      <c r="H172" t="inlineStr">
        <is>
          <t>6100 G&amp;A:6130 Bank Service Charges</t>
        </is>
      </c>
      <c r="I172" s="1" t="n">
        <v>5663.73</v>
      </c>
      <c r="K172" t="inlineStr">
        <is>
          <t/>
        </is>
      </c>
      <c r="L172" s="1" t="n">
        <v>11327.46</v>
      </c>
      <c r="M172" t="inlineStr">
        <is>
          <t/>
        </is>
      </c>
      <c r="N172" t="inlineStr">
        <is>
          <t>Payee 41</t>
        </is>
      </c>
    </row>
    <row r="173">
      <c r="A173" t="inlineStr">
        <is>
          <t>Total for 141</t>
        </is>
      </c>
      <c r="I173" s="2">
        <f>I171+I172</f>
        <v>5663.73</v>
      </c>
      <c r="J173" s="2">
        <f>J171+J172</f>
        <v>5663.73</v>
      </c>
    </row>
    <row r="174">
      <c r="A174" t="inlineStr">
        <is>
          <t>142</t>
        </is>
      </c>
    </row>
    <row r="175">
      <c r="B175" t="inlineStr">
        <is>
          <t>01/03/2026</t>
        </is>
      </c>
      <c r="C175" t="inlineStr">
        <is>
          <t>Transfer</t>
        </is>
      </c>
      <c r="D175" t="inlineStr">
        <is>
          <t/>
        </is>
      </c>
      <c r="E175" t="inlineStr">
        <is>
          <t>Payee 42</t>
        </is>
      </c>
      <c r="F175" t="inlineStr">
        <is>
          <t>Memo 42</t>
        </is>
      </c>
      <c r="G175" t="inlineStr">
        <is>
          <t/>
        </is>
      </c>
      <c r="H175" t="inlineStr">
        <is>
          <t>Riverbank BUSINESS CHECKING (0002)</t>
        </is>
      </c>
      <c r="J175" s="1" t="n">
        <v>5801.26</v>
      </c>
      <c r="K175" t="inlineStr">
        <is>
          <t/>
        </is>
      </c>
      <c r="L175" s="1" t="n">
        <v>5801.26000000001</v>
      </c>
      <c r="M175" t="inlineStr">
        <is>
          <t/>
        </is>
      </c>
      <c r="N175" t="inlineStr">
        <is>
          <t>Payee 42</t>
        </is>
      </c>
    </row>
    <row r="176">
      <c r="B176" t="inlineStr">
        <is>
          <t>01/03/2026</t>
        </is>
      </c>
      <c r="C176" t="inlineStr">
        <is>
          <t>Transfer</t>
        </is>
      </c>
      <c r="D176" t="inlineStr">
        <is>
          <t/>
        </is>
      </c>
      <c r="E176" t="inlineStr">
        <is>
          <t>Payee 42</t>
        </is>
      </c>
      <c r="F176" t="inlineStr">
        <is>
          <t>Memo 42</t>
        </is>
      </c>
      <c r="G176" t="inlineStr">
        <is>
          <t>2005</t>
        </is>
      </c>
      <c r="H176" t="inlineStr">
        <is>
          <t>2005 Northbank Credit Card</t>
        </is>
      </c>
      <c r="I176" s="1" t="n">
        <v>5801.26</v>
      </c>
      <c r="K176" t="inlineStr">
        <is>
          <t/>
        </is>
      </c>
      <c r="L176" s="1" t="n">
        <v>11602.52</v>
      </c>
      <c r="M176" t="inlineStr">
        <is>
          <t/>
        </is>
      </c>
      <c r="N176" t="inlineStr">
        <is>
          <t>Payee 42</t>
        </is>
      </c>
    </row>
    <row r="177">
      <c r="A177" t="inlineStr">
        <is>
          <t>Total for 142</t>
        </is>
      </c>
      <c r="I177" s="2">
        <f>I175+I176</f>
        <v>5801.26</v>
      </c>
      <c r="J177" s="2">
        <f>J175+J176</f>
        <v>5801.26</v>
      </c>
    </row>
    <row r="178">
      <c r="A178" t="inlineStr">
        <is>
          <t>612</t>
        </is>
      </c>
    </row>
    <row r="179">
      <c r="B179" t="inlineStr">
        <is>
          <t>01/01/2026</t>
        </is>
      </c>
      <c r="C179" t="inlineStr">
        <is>
          <t>Journal Entry</t>
        </is>
      </c>
      <c r="D179" t="inlineStr">
        <is>
          <t>2</t>
        </is>
      </c>
      <c r="E179" t="inlineStr">
        <is>
          <t/>
        </is>
      </c>
      <c r="F179" t="inlineStr">
        <is>
          <t>Opening Balance Entry</t>
        </is>
      </c>
      <c r="G179" t="inlineStr">
        <is>
          <t>3000</t>
        </is>
      </c>
      <c r="H179" t="inlineStr">
        <is>
          <t>3000 Member Equity</t>
        </is>
      </c>
      <c r="J179" s="1" t="n">
        <v>70000</v>
      </c>
      <c r="K179" t="inlineStr">
        <is>
          <t/>
        </is>
      </c>
      <c r="L179" s="1" t="n">
        <v>70000</v>
      </c>
      <c r="M179" t="inlineStr">
        <is>
          <t/>
        </is>
      </c>
      <c r="N179" t="inlineStr">
        <is>
          <t/>
        </is>
      </c>
    </row>
    <row r="180">
      <c r="B180" t="inlineStr">
        <is>
          <t>01/01/2026</t>
        </is>
      </c>
      <c r="C180" t="inlineStr">
        <is>
          <t>Journal Entry</t>
        </is>
      </c>
      <c r="D180" t="inlineStr">
        <is>
          <t>2</t>
        </is>
      </c>
      <c r="E180" t="inlineStr">
        <is>
          <t/>
        </is>
      </c>
      <c r="F180" t="inlineStr">
        <is>
          <t>Opening Balance Entry</t>
        </is>
      </c>
      <c r="G180" t="inlineStr">
        <is>
          <t>3900</t>
        </is>
      </c>
      <c r="H180" t="inlineStr">
        <is>
          <t>3900 Retained Earnings</t>
        </is>
      </c>
      <c r="I180" s="1" t="n">
        <v>35131.01</v>
      </c>
      <c r="K180" t="inlineStr">
        <is>
          <t/>
        </is>
      </c>
      <c r="L180" s="1" t="n">
        <v>34868.99</v>
      </c>
      <c r="M180" t="inlineStr">
        <is>
          <t/>
        </is>
      </c>
      <c r="N180" t="inlineStr">
        <is>
          <t/>
        </is>
      </c>
    </row>
    <row r="181">
      <c r="B181" t="inlineStr">
        <is>
          <t>01/01/2026</t>
        </is>
      </c>
      <c r="C181" t="inlineStr">
        <is>
          <t>Journal Entry</t>
        </is>
      </c>
      <c r="D181" t="inlineStr">
        <is>
          <t>2</t>
        </is>
      </c>
      <c r="E181" t="inlineStr">
        <is>
          <t/>
        </is>
      </c>
      <c r="F181" t="inlineStr">
        <is>
          <t>Bulk Buy - Soda Machine</t>
        </is>
      </c>
      <c r="G181" t="inlineStr">
        <is>
          <t>1520</t>
        </is>
      </c>
      <c r="H181" t="inlineStr">
        <is>
          <t>1520 Computer &amp; Office Equipment</t>
        </is>
      </c>
      <c r="I181" s="1" t="n">
        <v>49.99</v>
      </c>
      <c r="K181" t="inlineStr">
        <is>
          <t/>
        </is>
      </c>
      <c r="L181" s="1" t="n">
        <v>34918.98</v>
      </c>
      <c r="M181" t="inlineStr">
        <is>
          <t/>
        </is>
      </c>
      <c r="N181" t="inlineStr">
        <is>
          <t/>
        </is>
      </c>
    </row>
    <row r="182">
      <c r="B182" t="inlineStr">
        <is>
          <t>01/01/2026</t>
        </is>
      </c>
      <c r="C182" t="inlineStr">
        <is>
          <t>Journal Entry</t>
        </is>
      </c>
      <c r="D182" t="inlineStr">
        <is>
          <t>2</t>
        </is>
      </c>
      <c r="E182" t="inlineStr">
        <is>
          <t/>
        </is>
      </c>
      <c r="F182" t="inlineStr">
        <is>
          <t>Riverbend - LCD Monitor</t>
        </is>
      </c>
      <c r="G182" t="inlineStr">
        <is>
          <t>1520</t>
        </is>
      </c>
      <c r="H182" t="inlineStr">
        <is>
          <t>1520 Computer &amp; Office Equipment</t>
        </is>
      </c>
      <c r="I182" s="1" t="n">
        <v>338.98</v>
      </c>
      <c r="K182" t="inlineStr">
        <is>
          <t/>
        </is>
      </c>
      <c r="L182" s="1" t="n">
        <v>35257.96</v>
      </c>
      <c r="M182" t="inlineStr">
        <is>
          <t/>
        </is>
      </c>
      <c r="N182" t="inlineStr">
        <is>
          <t/>
        </is>
      </c>
    </row>
    <row r="183">
      <c r="B183" t="inlineStr">
        <is>
          <t>01/01/2026</t>
        </is>
      </c>
      <c r="C183" t="inlineStr">
        <is>
          <t>Journal Entry</t>
        </is>
      </c>
      <c r="D183" t="inlineStr">
        <is>
          <t>2</t>
        </is>
      </c>
      <c r="E183" t="inlineStr">
        <is>
          <t/>
        </is>
      </c>
      <c r="F183" t="inlineStr">
        <is>
          <t>Monitor Arms</t>
        </is>
      </c>
      <c r="G183" t="inlineStr">
        <is>
          <t>1520</t>
        </is>
      </c>
      <c r="H183" t="inlineStr">
        <is>
          <t>1520 Computer &amp; Office Equipment</t>
        </is>
      </c>
      <c r="I183" s="1" t="n">
        <v>956</v>
      </c>
      <c r="K183" t="inlineStr">
        <is>
          <t/>
        </is>
      </c>
      <c r="L183" s="1" t="n">
        <v>36213.96</v>
      </c>
      <c r="M183" t="inlineStr">
        <is>
          <t/>
        </is>
      </c>
      <c r="N183" t="inlineStr">
        <is>
          <t/>
        </is>
      </c>
    </row>
    <row r="184">
      <c r="B184" t="inlineStr">
        <is>
          <t>01/01/2026</t>
        </is>
      </c>
      <c r="C184" t="inlineStr">
        <is>
          <t>Journal Entry</t>
        </is>
      </c>
      <c r="D184" t="inlineStr">
        <is>
          <t>2</t>
        </is>
      </c>
      <c r="E184" t="inlineStr">
        <is>
          <t/>
        </is>
      </c>
      <c r="F184" t="inlineStr">
        <is>
          <t>Riverbend</t>
        </is>
      </c>
      <c r="G184" t="inlineStr">
        <is>
          <t>1520</t>
        </is>
      </c>
      <c r="H184" t="inlineStr">
        <is>
          <t>1520 Computer &amp; Office Equipment</t>
        </is>
      </c>
      <c r="I184" s="1" t="n">
        <v>17.98</v>
      </c>
      <c r="K184" t="inlineStr">
        <is>
          <t/>
        </is>
      </c>
      <c r="L184" s="1" t="n">
        <v>36231.94</v>
      </c>
      <c r="M184" t="inlineStr">
        <is>
          <t/>
        </is>
      </c>
      <c r="N184" t="inlineStr">
        <is>
          <t/>
        </is>
      </c>
    </row>
    <row r="185">
      <c r="B185" t="inlineStr">
        <is>
          <t>01/01/2026</t>
        </is>
      </c>
      <c r="C185" t="inlineStr">
        <is>
          <t>Journal Entry</t>
        </is>
      </c>
      <c r="D185" t="inlineStr">
        <is>
          <t>2</t>
        </is>
      </c>
      <c r="E185" t="inlineStr">
        <is>
          <t/>
        </is>
      </c>
      <c r="F185" t="inlineStr">
        <is>
          <t>Opening Balance Entry</t>
        </is>
      </c>
      <c r="G185" t="inlineStr">
        <is>
          <t/>
        </is>
      </c>
      <c r="H185" t="inlineStr">
        <is>
          <t>Opening Balance Equity</t>
        </is>
      </c>
      <c r="I185" s="1" t="n">
        <v>33571.04</v>
      </c>
      <c r="K185" t="inlineStr">
        <is>
          <t/>
        </is>
      </c>
      <c r="L185" s="1" t="n">
        <v>2660.900000000001</v>
      </c>
      <c r="M185" t="inlineStr">
        <is>
          <t/>
        </is>
      </c>
      <c r="N185" t="inlineStr">
        <is>
          <t/>
        </is>
      </c>
    </row>
    <row r="186">
      <c r="B186" t="inlineStr">
        <is>
          <t>01/01/2026</t>
        </is>
      </c>
      <c r="C186" t="inlineStr">
        <is>
          <t>Journal Entry</t>
        </is>
      </c>
      <c r="D186" t="inlineStr">
        <is>
          <t>2</t>
        </is>
      </c>
      <c r="E186" t="inlineStr">
        <is>
          <t/>
        </is>
      </c>
      <c r="F186" t="inlineStr">
        <is>
          <t>Opening Balance Entry - Accumulated Depreciation catchup</t>
        </is>
      </c>
      <c r="G186" t="inlineStr">
        <is>
          <t>1521</t>
        </is>
      </c>
      <c r="H186" t="inlineStr">
        <is>
          <t>1520 Computer &amp; Office Equipment:1521 Computer &amp; Equipment - Accum Depr</t>
        </is>
      </c>
      <c r="J186" s="1" t="n">
        <v>55.85</v>
      </c>
      <c r="K186" t="inlineStr">
        <is>
          <t/>
        </is>
      </c>
      <c r="L186" s="1" t="n">
        <v>2605.050000000002</v>
      </c>
      <c r="M186" t="inlineStr">
        <is>
          <t/>
        </is>
      </c>
      <c r="N186" t="inlineStr">
        <is>
          <t/>
        </is>
      </c>
    </row>
    <row r="187">
      <c r="B187" t="inlineStr">
        <is>
          <t>01/01/2026</t>
        </is>
      </c>
      <c r="C187" t="inlineStr">
        <is>
          <t>Journal Entry</t>
        </is>
      </c>
      <c r="D187" t="inlineStr">
        <is>
          <t>2</t>
        </is>
      </c>
      <c r="E187" t="inlineStr">
        <is>
          <t/>
        </is>
      </c>
      <c r="F187" t="inlineStr">
        <is>
          <t>Opening Balance Entry - Accumulated Depreciation catchup</t>
        </is>
      </c>
      <c r="G187" t="inlineStr">
        <is>
          <t>3900</t>
        </is>
      </c>
      <c r="H187" t="inlineStr">
        <is>
          <t>3900 Retained Earnings</t>
        </is>
      </c>
      <c r="I187" s="1" t="n">
        <v>55.85</v>
      </c>
      <c r="K187" t="inlineStr">
        <is>
          <t/>
        </is>
      </c>
      <c r="L187" s="1" t="n">
        <v>2549.200000000002</v>
      </c>
      <c r="M187" t="inlineStr">
        <is>
          <t/>
        </is>
      </c>
      <c r="N187" t="inlineStr">
        <is>
          <t/>
        </is>
      </c>
    </row>
    <row r="188">
      <c r="B188" t="inlineStr">
        <is>
          <t>01/01/2026</t>
        </is>
      </c>
      <c r="C188" t="inlineStr">
        <is>
          <t>Journal Entry</t>
        </is>
      </c>
      <c r="D188" t="inlineStr">
        <is>
          <t>2</t>
        </is>
      </c>
      <c r="E188" t="inlineStr">
        <is>
          <t/>
        </is>
      </c>
      <c r="F188" t="inlineStr">
        <is>
          <t>Opening Balance Entry - write off 2015 reconciling items</t>
        </is>
      </c>
      <c r="G188" t="inlineStr">
        <is>
          <t>3900</t>
        </is>
      </c>
      <c r="H188" t="inlineStr">
        <is>
          <t>3900 Retained Earnings</t>
        </is>
      </c>
      <c r="J188" s="1" t="n">
        <v>65</v>
      </c>
      <c r="K188" t="inlineStr">
        <is>
          <t/>
        </is>
      </c>
      <c r="L188" s="1" t="n">
        <v>2614.200000000002</v>
      </c>
      <c r="M188" t="inlineStr">
        <is>
          <t/>
        </is>
      </c>
      <c r="N188" t="inlineStr">
        <is>
          <t/>
        </is>
      </c>
    </row>
    <row r="189">
      <c r="A189" t="inlineStr">
        <is>
          <t>Total for 612</t>
        </is>
      </c>
      <c r="I189" s="2">
        <f>I179+I180+I181+I182+I183+I184+I185+I186+I187+I188</f>
        <v>70120.850000000006</v>
      </c>
      <c r="J189" s="2">
        <f>J179+J180+J181+J182+J183+J184+J185+J186+J187+J188</f>
        <v>70120.850000000006</v>
      </c>
    </row>
    <row r="190">
      <c r="A190" t="inlineStr">
        <is>
          <t>6</t>
        </is>
      </c>
    </row>
    <row r="191">
      <c r="B191" t="inlineStr">
        <is>
          <t>01/20/2026</t>
        </is>
      </c>
      <c r="C191" t="inlineStr">
        <is>
          <t>Bill</t>
        </is>
      </c>
      <c r="D191" t="inlineStr">
        <is>
          <t/>
        </is>
      </c>
      <c r="E191" t="inlineStr">
        <is>
          <t>Harbor &amp; Vance LLP</t>
        </is>
      </c>
      <c r="F191" t="inlineStr">
        <is>
          <t/>
        </is>
      </c>
      <c r="G191" t="inlineStr">
        <is>
          <t>2000</t>
        </is>
      </c>
      <c r="H191" t="inlineStr">
        <is>
          <t>2000 Accounts Payable</t>
        </is>
      </c>
      <c r="J191" s="1" t="n">
        <v>533.9400000000001</v>
      </c>
      <c r="K191" t="inlineStr">
        <is>
          <t/>
        </is>
      </c>
      <c r="L191" s="1" t="n">
        <v>533.9400000000001</v>
      </c>
      <c r="M191" t="inlineStr">
        <is>
          <t/>
        </is>
      </c>
      <c r="N191" t="inlineStr">
        <is>
          <t>Harbor &amp; Vance LLP</t>
        </is>
      </c>
    </row>
    <row r="192">
      <c r="B192" t="inlineStr">
        <is>
          <t>01/20/2026</t>
        </is>
      </c>
      <c r="C192" t="inlineStr">
        <is>
          <t>Bill</t>
        </is>
      </c>
      <c r="D192" t="inlineStr">
        <is>
          <t/>
        </is>
      </c>
      <c r="E192" t="inlineStr">
        <is>
          <t>Harbor &amp; Vance LLP</t>
        </is>
      </c>
      <c r="F192" t="inlineStr">
        <is>
          <t>Invoice #24688 8/4/25</t>
        </is>
      </c>
      <c r="G192" t="inlineStr">
        <is>
          <t>6310</t>
        </is>
      </c>
      <c r="H192" t="inlineStr">
        <is>
          <t>6300 Professional Fees:6310 Legal Fees</t>
        </is>
      </c>
      <c r="I192" s="1" t="n">
        <v>341.5</v>
      </c>
      <c r="K192" t="inlineStr">
        <is>
          <t/>
        </is>
      </c>
      <c r="L192" s="1" t="n">
        <v>875.4400000000001</v>
      </c>
      <c r="M192" t="inlineStr">
        <is>
          <t/>
        </is>
      </c>
      <c r="N192" t="inlineStr">
        <is>
          <t>Harbor &amp; Vance LLP</t>
        </is>
      </c>
    </row>
    <row r="193">
      <c r="B193" t="inlineStr">
        <is>
          <t>01/20/2026</t>
        </is>
      </c>
      <c r="C193" t="inlineStr">
        <is>
          <t>Bill</t>
        </is>
      </c>
      <c r="D193" t="inlineStr">
        <is>
          <t/>
        </is>
      </c>
      <c r="E193" t="inlineStr">
        <is>
          <t>Harbor &amp; Vance LLP</t>
        </is>
      </c>
      <c r="F193" t="inlineStr">
        <is>
          <t>Invoice #24797 9/7/25</t>
        </is>
      </c>
      <c r="G193" t="inlineStr">
        <is>
          <t>6310</t>
        </is>
      </c>
      <c r="H193" t="inlineStr">
        <is>
          <t>6300 Professional Fees:6310 Legal Fees</t>
        </is>
      </c>
      <c r="I193" s="1" t="n">
        <v>105</v>
      </c>
      <c r="K193" t="inlineStr">
        <is>
          <t/>
        </is>
      </c>
      <c r="L193" s="1" t="n">
        <v>980.4400000000001</v>
      </c>
      <c r="M193" t="inlineStr">
        <is>
          <t/>
        </is>
      </c>
      <c r="N193" t="inlineStr">
        <is>
          <t>Harbor &amp; Vance LLP</t>
        </is>
      </c>
    </row>
    <row r="194">
      <c r="B194" t="inlineStr">
        <is>
          <t>01/20/2026</t>
        </is>
      </c>
      <c r="C194" t="inlineStr">
        <is>
          <t>Bill</t>
        </is>
      </c>
      <c r="D194" t="inlineStr">
        <is>
          <t/>
        </is>
      </c>
      <c r="E194" t="inlineStr">
        <is>
          <t>Harbor &amp; Vance LLP</t>
        </is>
      </c>
      <c r="F194" t="inlineStr">
        <is>
          <t>Invoice #24499 6/6/25</t>
        </is>
      </c>
      <c r="G194" t="inlineStr">
        <is>
          <t>6310</t>
        </is>
      </c>
      <c r="H194" t="inlineStr">
        <is>
          <t>6300 Professional Fees:6310 Legal Fees</t>
        </is>
      </c>
      <c r="I194" s="1" t="n">
        <v>87.44</v>
      </c>
      <c r="K194" t="inlineStr">
        <is>
          <t/>
        </is>
      </c>
      <c r="L194" s="1" t="n">
        <v>1067.88</v>
      </c>
      <c r="M194" t="inlineStr">
        <is>
          <t/>
        </is>
      </c>
      <c r="N194" t="inlineStr">
        <is>
          <t>Harbor &amp; Vance LLP</t>
        </is>
      </c>
    </row>
    <row r="195">
      <c r="A195" t="inlineStr">
        <is>
          <t>Total for 6</t>
        </is>
      </c>
      <c r="I195" s="2">
        <f>I191+I192+I193+I194</f>
        <v>533.94</v>
      </c>
      <c r="J195" s="2">
        <f>J191+J192+J193+J194</f>
        <v>533.94</v>
      </c>
    </row>
    <row r="196">
      <c r="A196" t="inlineStr">
        <is>
          <t>TOTAL</t>
        </is>
      </c>
      <c r="I196" s="2" t="n">
        <v>65510189.6700001</v>
      </c>
      <c r="J196" s="2" t="n">
        <v>65510189.6700001</v>
      </c>
    </row>
    <row r="200">
      <c r="A200" t="inlineStr">
        <is>
          <t xml:space="preserve"> Wednesday, September 02, 2026 10:31 AM GMT-06:00</t>
        </is>
      </c>
    </row>
  </sheetData>
  <mergeCells count="4">
    <mergeCell ref="A3:M3"/>
    <mergeCell ref="A2:M2"/>
    <mergeCell ref="A1:M1"/>
    <mergeCell ref="A200:M2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